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/>
  <mc:AlternateContent xmlns:mc="http://schemas.openxmlformats.org/markup-compatibility/2006">
    <mc:Choice Requires="x15">
      <x15ac:absPath xmlns:x15ac="http://schemas.microsoft.com/office/spreadsheetml/2010/11/ac" url="/Users/Admin/Library/CloudStorage/OneDrive-Personal/Vihat/VHS/Outsrc/2026/Đà Nẵng/"/>
    </mc:Choice>
  </mc:AlternateContent>
  <xr:revisionPtr revIDLastSave="7" documentId="11_C6E4A2F7B4867EB437892F316B0481721FE98BF4" xr6:coauthVersionLast="36" xr6:coauthVersionMax="36" xr10:uidLastSave="{66CBA40A-F40C-5D43-A352-0CDCF82B4D47}"/>
  <bookViews>
    <workbookView xWindow="0" yWindow="500" windowWidth="33600" windowHeight="18940" tabRatio="500" activeTab="1" xr2:uid="{00000000-000D-0000-FFFF-FFFF00000000}"/>
  </bookViews>
  <sheets>
    <sheet name="Assumptions" sheetId="1" r:id="rId1"/>
    <sheet name="Estimation" sheetId="2" r:id="rId2"/>
    <sheet name="Summary" sheetId="3" r:id="rId3"/>
    <sheet name="Customer Confirmation" sheetId="4" r:id="rId4"/>
    <sheet name="Techstack" sheetId="5" r:id="rId5"/>
  </sheets>
  <calcPr calcId="181029"/>
</workbook>
</file>

<file path=xl/calcChain.xml><?xml version="1.0" encoding="utf-8"?>
<calcChain xmlns="http://schemas.openxmlformats.org/spreadsheetml/2006/main">
  <c r="C7" i="3" l="1"/>
  <c r="B7" i="3"/>
  <c r="C6" i="3"/>
  <c r="B6" i="3"/>
  <c r="C5" i="3"/>
  <c r="B5" i="3"/>
  <c r="C4" i="3"/>
  <c r="B4" i="3"/>
  <c r="B8" i="3" s="1"/>
  <c r="C8" i="3" l="1"/>
  <c r="C11" i="3"/>
  <c r="C13" i="3" s="1"/>
</calcChain>
</file>

<file path=xl/sharedStrings.xml><?xml version="1.0" encoding="utf-8"?>
<sst xmlns="http://schemas.openxmlformats.org/spreadsheetml/2006/main" count="302" uniqueCount="180">
  <si>
    <t>Giả định - Đơn giá ngày công &amp; Thông số mô hình</t>
  </si>
  <si>
    <t>Vai trò</t>
  </si>
  <si>
    <t>Đơn giá ngày (VND)</t>
  </si>
  <si>
    <t>Ghi chú</t>
  </si>
  <si>
    <t>Lập trình viên Senior Full-Stack (có AI hỗ trợ)</t>
  </si>
  <si>
    <t>Vai trò duy nhất trong dự án này - một lập trình viên senior đảm nhiệm toàn bộ (Xây dựng, Rà soát &amp; Tích hợp, QA &amp; Kiểm thử, Sửa lỗi &amp; Tinh chỉnh) theo hình thức 'vibe coding' có AI hỗ trợ. Không có đơn giá riêng cho BA/PM, Dev, QA hay DevOps - đây là đơn giá duy nhất được dùng xuyên suốt tab WBS &amp; Cost.</t>
  </si>
  <si>
    <t>Thông số Dự án</t>
  </si>
  <si>
    <t>Thời gian dự kiến (tháng)</t>
  </si>
  <si>
    <t>Hình thức triển khai một mình, có AI hỗ trợ, toàn thời gian - chỉ mang tính tham khảo; không còn ảnh hưởng tới công thức tính chi phí (xem ghi chú bên dưới)</t>
  </si>
  <si>
    <t>Dự phòng</t>
  </si>
  <si>
    <t>Áp dụng trên chi phí phát triển cơ sở ở tab Summary</t>
  </si>
  <si>
    <t>Rà soát &amp; Tích hợp</t>
  </si>
  <si>
    <t>Áp dụng cho chi phí phát triển cơ sở trên tab WBS &amp; Cost</t>
  </si>
  <si>
    <t>Sửa lỗi &amp; Tinh chỉnh</t>
  </si>
  <si>
    <t>Ghi chú: bản nháp trước đây của workbook này có một dòng chi phí riêng cho 'thuê bao công cụ AI coding' (số lượng kỹ sư x số tháng x USD/tháng). Đã bỏ theo góp ý của anh/chị - chi phí đó đã được tính gộp trong đơn giá ngày công của các hoạt động Xây dựng/Rà soát/QA/Sửa lỗi ở trên, không tách thành khoản riêng.</t>
  </si>
  <si>
    <t>Tỷ lệ ước tính theo kinh nghiệm (dùng để khởi tạo giá trị ban đầu trên tab WBS - tự điều chỉnh theo từng dòng khi anh/chị có kế hoạch công việc BE/FE thực tế)</t>
  </si>
  <si>
    <t>Rà soát &amp; Tích hợp ~ 20% Xây dựng có AI hỗ trợ</t>
  </si>
  <si>
    <t>QA &amp; Kiểm thử ~ 15% Xây dựng có AI hỗ trợ</t>
  </si>
  <si>
    <t>Sửa lỗi &amp; Tinh chỉnh theo phản hồi ~ 15% Xây dựng có AI hỗ trợ</t>
  </si>
  <si>
    <t>Bảng phân rã công việc (WBS) &amp; Chi phí - Khối lượng công việc và chi phí theo từng tính năng</t>
  </si>
  <si>
    <t>#</t>
  </si>
  <si>
    <t>Nhóm</t>
  </si>
  <si>
    <t>Phân hệ</t>
  </si>
  <si>
    <t>Tính năng / Hạng mục công việc</t>
  </si>
  <si>
    <t>Chi phí (VND)</t>
  </si>
  <si>
    <t>Web Quản trị</t>
  </si>
  <si>
    <t>Khung dùng chung &amp; Đăng nhập</t>
  </si>
  <si>
    <t>- Sidebar (nhóm Điều hành/Quản trị, badge số lượng) + thanh trên cùng (tên xã/phường, tìm kiếm, thông báo, trợ giúp, avatar)
- Ngăn chi tiết trượt dùng chung nhiều màn hình (Công việc/Văn bản/Ngân sách/Phản ánh)
- Toast thông báo cho mọi hành động; khối bình luận &amp; nhật ký hoạt động dùng chung
- Đăng nhập cán bộ + phân quyền theo vai trò (Chủ tịch, Phó Chủ tịch, cán bộ phòng ban, một cửa, quản trị) - chưa có màn hình trong demo</t>
  </si>
  <si>
    <t>↳ Cần làm rõ</t>
  </si>
  <si>
    <t>❓ Tìm kiếm toàn cục hiện chỉ toast giả - cần xác nhận phạm vi tìm kiếm thật (công việc/văn bản/phản ánh/công dân...)?</t>
  </si>
  <si>
    <t>❓ Chuông thông báo chỉ là badge trang trí - cần trung tâm thông báo thật trong app, hay chỉ dùng Zalo?</t>
  </si>
  <si>
    <t>❓ Nút trợ giúp chưa có nội dung - cần tài liệu hướng dẫn/FAQ hay liên hệ hỗ trợ?</t>
  </si>
  <si>
    <t>❓ Avatar chưa có menu tài khoản/đăng xuất - xác nhận có cần menu tài khoản thật?</t>
  </si>
  <si>
    <t>Tổng quan (Dashboard)</t>
  </si>
  <si>
    <t>- 6 thẻ KPI bấm xem chi tiết (công việc, văn bản, giải ngân, phản ánh, hài lòng)
- Biểu đồ cột công việc theo tháng; biểu đồ đường xu hướng giải ngân
- Bảng "Cần xử lý ngay" (6 việc gấp), bấm chuyển sang trang Công việc
- Bộ chọn kỳ báo cáo; nút "Xem báo cáo đầy đủ"</t>
  </si>
  <si>
    <t>❓ Bộ chọn kỳ hiện là nhãn tĩnh "Tháng 8/2026" - cần bộ chọn nhiều kỳ thật không?</t>
  </si>
  <si>
    <t>Nhiệm vụ (Quản lý Công việc)</t>
  </si>
  <si>
    <t>- Bộ lọc theo phòng ban/người phụ trách/trạng thái/nguồn gốc; chuyển Kanban (5 cột) ⇄ danh sách bảng
- Thẻ công việc: tiêu đề, nguồn gốc, ưu tiên, % tiến độ, hạn xử lý, người phụ trách
- Ngăn chi tiết (mở khi bấm vào thẻ Kanban/dòng danh sách - đóng vai trò màn hình xem/sửa, tức phần Xem+Sửa của CRUD): mô tả, người giao/nhận/phối hợp, checklist con tự cập nhật tiến độ, tab Bình luận/Nhật ký, tệp đính kèm
- Liên kết xuyên phân hệ: truy vết nguồn gốc tới văn bản/phản ánh</t>
  </si>
  <si>
    <t>❓ "Giao việc mới" (phần Tạo mới của CRUD) chưa có biểu mẫu thật (chỉ toast) - cần những trường nào, có thông báo người được giao không? (Xem/Sửa đã có sẵn qua ngăn chi tiết ở trên)</t>
  </si>
  <si>
    <t>Văn bản &amp; Đơn thư</t>
  </si>
  <si>
    <t>- 2 tab: Văn bản đến / Đơn thư công dân; bảng có hạn xử lý đếm ngược, trạng thái
- Ngăn chi tiết: xem bản scan, banner OCR tự trích xuất 7 trường (cần cán bộ xác nhận), dòng thời gian luân chuyển, tệp đính kèm
- Nút "Chuyển thành công việc" (tạo liên kết thật) và "Chuyển xử lý"
- Gắn nhãn độ mật/độ khẩn; tích hợp trục liên thông văn bản liên ngành (chờ xác nhận phạm vi)</t>
  </si>
  <si>
    <t>❓ "Tiếp nhận văn bản" và "Bộ lọc nâng cao" chưa hoạt động thật - cần định nghĩa biểu mẫu tiếp nhận và các trường lọc?</t>
  </si>
  <si>
    <t>Ngân sách / Giải ngân</t>
  </si>
  <si>
    <t>- Thẻ tóm tắt: vốn kế hoạch, đã giải ngân, số hạng mục chậm
- Danh sách + ngăn chi tiết hạng mục: lịch sử giải ngân, vướng mắc, trao đổi phòng ban, "Đề nghị giải ngân"/"Nhắc tháo gỡ"
- Xuất báo cáo Excel; bộ chọn năm</t>
  </si>
  <si>
    <t>❓ Demo chưa có nút/luồng "Tạo hạng mục ngân sách mới" - chỉ xem và cập nhật hạng mục có sẵn. Ai tạo hạng mục mới và tạo bằng cách nào?</t>
  </si>
  <si>
    <t>❓ "Đề nghị giải ngân"/"Nhắc tháo gỡ" và xuất Excel chưa hoạt động thật - ai duyệt đề nghị, điều gì kích hoạt nhắc nhở?</t>
  </si>
  <si>
    <t>❓ Bộ chọn năm hiện là nhãn tĩnh "2026" - cần bộ chọn nhiều năm thật không?</t>
  </si>
  <si>
    <t>Phản ánh Người dân (phía quản trị)</t>
  </si>
  <si>
    <t>- Thống kê tổng quan; bộ lọc danh mục dạng chip (8 danh mục)
- Lưới thẻ phiếu: ảnh, mã phiếu, SLA đếm ngược, đánh giá sao, trạng thái
- Ngăn chi tiết: ảnh trước/sau, người gửi, bản đồ thu nhỏ, dòng thời gian xử lý, đánh giá của công dân
- SLA cấu hình theo danh mục (xem trang Cấu hình)</t>
  </si>
  <si>
    <t>❓ "Tiếp nhận phản ánh"/"Cập nhật kết quả"/"Chuyển thành công việc"/"Gửi lời cảm ơn" đều chỉ toast - xử lý xong có tự gửi Zalo cho công dân không?</t>
  </si>
  <si>
    <t>❓ Bộ chọn kỳ "Tháng 8/2026" ở trang này chưa hoạt động (khác bộ chọn giống hệt ở Tổng quan, cái đó chạy được)</t>
  </si>
  <si>
    <t>Bản đồ Kinh tế số</t>
  </si>
  <si>
    <t>- 8 lớp dữ liệu bật/tắt có số lượng thật; popup ghim: tên, ngành nghề, địa chỉ, liên hệ
- Bảng phân tích theo ngành (biểu đồ tròn + tổng số liệu)
- Bản đồ hiện là canvas CSS giả lập - cần bản đồ thật (nhà cung cấp, tile, tọa độ)</t>
  </si>
  <si>
    <t>❓ "Cập nhật dữ liệu"/"Xuất dữ liệu" chỉ toast - nguồn dữ liệu thật là gì, tần suất cập nhật, định dạng xuất?</t>
  </si>
  <si>
    <t>❓ Google Maps hiện không có giấy phép sử dụng chính thức tại Việt Nam - nên không khả thi làm nhà cung cấp bản đồ nền; cần chọn nhà cung cấp trong nước (vd VietMap, Goong,...) hoặc giải pháp mã nguồn mở (OpenStreetMap/MapLibre)</t>
  </si>
  <si>
    <t>Báo cáo</t>
  </si>
  <si>
    <t>- Bộ chọn kỳ (Tuần/Tháng/Quý/Năm) + so sánh cùng kỳ năm trước
- Biểu đồ: công việc theo phòng ban, tỷ lệ đúng hạn, phản ánh theo danh mục, giải ngân theo nguồn vốn
- Bảng xếp hạng phòng ban theo hiệu suất</t>
  </si>
  <si>
    <t>❓ Xuất PDF/Excel/PowerPoint cả 3 chỉ toast - cần đủ cả 3 định dạng ngay khi ra mắt, hay chia giai đoạn?</t>
  </si>
  <si>
    <t>Cấu hình</t>
  </si>
  <si>
    <t>- Tab SLA theo danh mục (bảng chỉnh sửa được)
- Tab Sơ đồ tổ chức (cây Chủ tịch → Phó Chủ tịch → Phòng ban)
- Tab Tài khoản người dùng: danh sách, "Phân quyền", "Thêm người dùng"
- Tab "Danh mục loại phản ánh": danh sách, thêm/sửa thông tin cho loại phản ánh</t>
  </si>
  <si>
    <t>❓ "Phân quyền"/"Thêm người dùng" chỉ toast - mức phân quyền cần theo phân hệ, theo hành động, hay theo nhóm vai trò dựng sẵn?</t>
  </si>
  <si>
    <t>❓ Tab Sơ đồ tổ chức hiện chỉ xem, chưa có CRUD thêm/sửa/xoá đơn vị, cây chưa thu gọn (collapse) được, và demo mới chỉ có 1 xã/phường - chưa rõ cách hiển thị khi có nhiều phường/xã của thành phố. Cần xây CRUD + thu gọn cây; quy mô tổ chức thực tế (bao nhiêu phường/xã) là gì?</t>
  </si>
  <si>
    <t>Quản trị Nội dung Mobile (CMS)</t>
  </si>
  <si>
    <t>- CRUD Tin tức / Sự kiện / Thông báo hiển thị trên Mini App (tạo, sửa, xoá, đăng/gỡ bài)
- CRUD Video tuyên truyền (tải video lên, gắn chủ đề, thời lượng)
- CRUD bản tin Truyền thanh phường (tải/gắn tệp âm thanh, phân loại chuyên mục)
- Soạn &amp; gửi thông báo broadcast tới công dân qua Zalo ZNS/push (khác với thông báo tự động theo từng phiếu/hồ sơ)
- Lịch sử thông báo đã gửi - 2 danh sách riêng: thông báo cho người dùng Mini App và thông báo nội bộ cho cán bộ quản trị</t>
  </si>
  <si>
    <t>❓ Bổ sung: mobile app có các mục Tin tức/Video/Thông báo nhưng demo admin hiện chưa có trang quản trị nội dung nào cho các mục này - cần xác nhận quy trình biên tập/duyệt bài (ai được đăng, có cần duyệt trước không)?</t>
  </si>
  <si>
    <t>Người dùng Mini App, Phiên đăng nhập &amp; Bảo mật</t>
  </si>
  <si>
    <t>- Danh sách người dùng Mini App (công dân): tên, SĐT, ngày đăng ký, số phiếu đã gửi, trạng thái hoạt động/bị khoá
- Danh sách phiên đăng nhập - 2 danh sách riêng: người dùng Mini App và tài khoản quản trị (thời gian đăng nhập, thiết bị, đăng xuất)
- Lịch sử blacklist / yêu cầu vi phạm: IP/tài khoản/yêu cầu bị chặn, lý do, thời gian</t>
  </si>
  <si>
    <t>❓ Bổ sung: demo hiện chưa có màn hình danh sách người dùng Mini App phía admin - cần xác nhận admin có được khoá/mở khoá tài khoản công dân trực tiếp không, và ai có quyền xem lịch sử blacklist?</t>
  </si>
  <si>
    <t>Ứng dụng Di động</t>
  </si>
  <si>
    <t>Trang chủ (Home) &amp; Định danh công dân</t>
  </si>
  <si>
    <t>- Định danh qua số điện thoại có sẵn của Zalo Mini App (không cần OTP tự xây)
- Thanh điều hướng dưới + 6 ô truy cập nhanh
- Widget: thẻ "Phản ánh của tôi" mới nhất + mini-feed "Tin mới", có link "Xem tất cả"</t>
  </si>
  <si>
    <t>Gửi phản ánh (quy trình 3 bước)</t>
  </si>
  <si>
    <t>- Bước 1: chọn 1/12 danh mục
- Bước 2: mô tả (bắt buộc), chụp tối đa 3 ảnh, tự định vị GPS + nút "Sửa" địa chỉ
- Bước 3: sinh mã phiếu, cam kết SLA, nút "Theo dõi phiếu này"</t>
  </si>
  <si>
    <t>❓ Nút "Sửa" vị trí kích hoạt quyền GPS thật của máy - cần test thật trên điện thoại: công dân từ chối cấp quyền thì xử lý sao?</t>
  </si>
  <si>
    <t>❓ Mã phiếu (#PA-2026-0014) hiện tự sinh phía client, chưa có backend - quy tắc đánh mã thật là gì?</t>
  </si>
  <si>
    <t>"Phản ánh của tôi" (danh sách &amp; chi tiết)</t>
  </si>
  <si>
    <t>- Danh sách phiếu: tiêu đề, danh mục, ngày, trạng thái
- Màn hình chi tiết phiếu: mô tả, trạng thái, dòng thời gian xử lý (dùng chung mẫu với Tra cứu Hồ sơ)
- Dữ liệu hiện lưu tạm trên local storage trình duyệt, chưa có backend thật</t>
  </si>
  <si>
    <t>Tra cứu Hồ sơ</t>
  </si>
  <si>
    <t>- Nhập mã hồ sơ hoặc quét QR; kết quả gồm thủ tục, người nộp, trạng thái, cán bộ phụ trách
- Bộ theo dõi 4 bước: Tiếp nhận → Thẩm định → Chờ ký duyệt → Trả kết quả
- "Hồ sơ đã tra cứu" (trong Cá nhân): danh sách lịch sử các mã hồ sơ đã quét/tra cứu thành công; bấm vào một mục mở lại đúng màn hình chi tiết/theo dõi như khi tra cứu mới (dùng lại UI có sẵn, không cần màn hình mới)</t>
  </si>
  <si>
    <t>❓ Quét mã QR: chưa rõ chức năng nào sẽ tạo mã QR từ mã phản ánh/hồ sơ để có thể quét?</t>
  </si>
  <si>
    <t>Tin tức – Sự kiện</t>
  </si>
  <si>
    <t>- 3 tab: Tin tức, Sự kiện, Thông báo - mỗi tab có danh sách + xem chi tiết</t>
  </si>
  <si>
    <t>Truyền thanh phường</t>
  </si>
  <si>
    <t>- Danh sách bản tin âm thanh theo ngày, lọc theo chuyên mục
- Trình phát mini sticky: tua thời gian, ±15 giây, đổi tốc độ (giao diện đã chạy tốt trong demo, vẫn cần backend lưu trữ âm thanh)</t>
  </si>
  <si>
    <t>Video tuyên truyền</t>
  </si>
  <si>
    <t>- Lưới video: ảnh, thời lượng, lượt xem, lọc theo chủ đề</t>
  </si>
  <si>
    <t>❓ Video: nhúng video từ YouTube, hay tự xây trình phát hiển thị video do Admin tải lên?</t>
  </si>
  <si>
    <t>Danh bạ chính quyền</t>
  </si>
  <si>
    <t>- Tìm kiếm theo tên/chức danh/SĐT; 2 nhóm: Lãnh đạo phường, Bộ phận chuyên môn
- Gọi điện nhanh; lãnh đạo có thêm nút "Nhắn Zalo"</t>
  </si>
  <si>
    <t>Cá nhân (Hồ sơ &amp; Cài đặt)</t>
  </si>
  <si>
    <t>- Cài đặt: cỡ chữ lớn, nhận thông báo qua Zalo, ngôn ngữ (hiện cố định Tiếng Việt)
- Lối tắt: "Phản ánh của tôi", "Hồ sơ đã tra cứu"</t>
  </si>
  <si>
    <t>Nền tảng &amp; Backend</t>
  </si>
  <si>
    <t>Dịch vụ Lõi</t>
  </si>
  <si>
    <t>Thiết kế hệ thống micro-services</t>
  </si>
  <si>
    <t>Dịch vụ thông báo (tích hợp Zalo ZNS + push + trong ứng dụng)</t>
  </si>
  <si>
    <t>Dịch vụ lưu trữ tệp (bản scan / ảnh / âm thanh / video tải lên)</t>
  </si>
  <si>
    <t>Tích hợp</t>
  </si>
  <si>
    <t>Tích hợp backend dịch vụ OCR (nhà cung cấp OCR tiếng Việt bên thứ ba)</t>
  </si>
  <si>
    <t>Dịch vụ backend GIS / geocoding</t>
  </si>
  <si>
    <t>Backend tạo báo cáo (dịch vụ kết xuất file PDF / Excel / PPT)</t>
  </si>
  <si>
    <t>Dịch vụ tìm kiếm (công việc / văn bản / phản ánh)</t>
  </si>
  <si>
    <t>Dịch vụ nhật ký hoạt động / kiểm toán</t>
  </si>
  <si>
    <t>Cơ chế quy trình / tự động hóa xuyên phân hệ (văn bản → công việc, phản ánh → công việc)</t>
  </si>
  <si>
    <t>Bảo mật API: mã hoá dữ liệu (encryption) + chặn yêu cầu vi phạm (blacklist / rate-limit / chống spam)</t>
  </si>
  <si>
    <t>Quản lý dự án, QA &amp; DevOps</t>
  </si>
  <si>
    <t>Triển khai</t>
  </si>
  <si>
    <t>Thiết lập môi trường + pipeline CI/CD</t>
  </si>
  <si>
    <t>Thiết lập hạ tầng cloud (môi trường staging + production)</t>
  </si>
  <si>
    <t>Tăng cường bảo mật &amp; rà soát trước khi vận hành</t>
  </si>
  <si>
    <t>Kiểm thử hồi quy xuyên phân hệ + hỗ trợ các đợt UAT</t>
  </si>
  <si>
    <t>Thiết lập &amp; phát hành ứng dụng lên Zalo Mini App Store (đăng ký, cấu hình, nộp kiểm duyệt)</t>
  </si>
  <si>
    <t>Điều phối dự án với khách hàng (toàn thời gian tham gia)</t>
  </si>
  <si>
    <t>Tổng hợp - Chi phí Giai đoạn 1</t>
  </si>
  <si>
    <t>Ngày công</t>
  </si>
  <si>
    <t>Tổng phụ chi phí phát triển cơ sở</t>
  </si>
  <si>
    <t>Các khoản chi phí bổ sung</t>
  </si>
  <si>
    <t>Căn cứ tính</t>
  </si>
  <si>
    <t>Tỷ lệ Dự phòng (tab Assumptions) x chi phí phát triển cơ sở. Không có dòng chi phí công cụ AI riêng - chi phí đó đã nằm trong đơn giá ngày công theo góp ý của anh/chị.</t>
  </si>
  <si>
    <t>TỔNG CHI PHÍ - Giai đoạn 1 cơ sở (đề xuất)</t>
  </si>
  <si>
    <t>Ghi chú: đây là ước tính sơ bộ (ROM) cho Giai đoạn 1, phục vụ lập kế hoạch/kiến trúc, không phải báo giá cố định.</t>
  </si>
  <si>
    <t>Danh mục Xác nhận - Tổng hợp các hạng mục chưa rõ</t>
  </si>
  <si>
    <t>Hạng mục</t>
  </si>
  <si>
    <t>Hiện trạng</t>
  </si>
  <si>
    <t>Câu hỏi cho khách hàng</t>
  </si>
  <si>
    <t>Câu trả lời của khách hàng</t>
  </si>
  <si>
    <t>Phạm vi &amp; Kiến trúc</t>
  </si>
  <si>
    <t>Phương án OCR</t>
  </si>
  <si>
    <t>Tự xây dựng trong nội bộ hay tích hợp nhà cung cấp OCR tiếng Việt bên thứ ba?</t>
  </si>
  <si>
    <t>Nếu không có opensource, sẽ có chi phí thực tế + khách hàng cần tự đăng ký tài khoản với đơn vị cung cấp dịch vụ.</t>
  </si>
  <si>
    <t>Nhà cung cấp bản đồ GIS</t>
  </si>
  <si>
    <t>Mapbox / nhà cung cấp trong nước (vd VietMap, Goong,...) / mã nguồn mở (OpenStreetMap/MapLibre)? Lưu ý: Google Maps hiện không có giấy phép sử dụng chính thức tại Việt Nam nên không phải lựa chọn khả thi.</t>
  </si>
  <si>
    <t>Sẽ sử dụng loại MapView nào?</t>
  </si>
  <si>
    <t>Phạm vi tích hợp Zalo</t>
  </si>
  <si>
    <t>Zalo Official Account + ZNS để gửi thông báo, và nhắn tin Zalo tới cán bộ - cần xác nhận đây là hạng mục chi phí/tài khoản nhà cung cấp thực tế.</t>
  </si>
  <si>
    <t>Có chi phí thực tế + khách hàng cần tự đăng ký tài khoản Zalo Business.</t>
  </si>
  <si>
    <t>Định danh công dân</t>
  </si>
  <si>
    <t>Cả hai bản demo đều không có màn hình đăng nhập/OTP, nhưng tính năng phản ánh/lịch sử tra cứu lại ngụ ý cần có tài khoản riêng cho từng công dân. Có nằm trong phạm vi Giai đoạn 1 không?</t>
  </si>
  <si>
    <t>Sẽ giới hạn tạo phản ảnh, chỉ với các tài khoản Zalo có cung cấp thông tin địa chỉ và thuộc phạm vi thành phố Đà Nẵng, hay không giới hạn?</t>
  </si>
  <si>
    <t>Liên thông liên ngành</t>
  </si>
  <si>
    <t>Việc kết nối với trục liên thông văn bản của nhà nước có nằm trong phạm vi giai đoạn này hay để sau?</t>
  </si>
  <si>
    <t>Hiện chưa tính trong WBS &amp; Cost</t>
  </si>
  <si>
    <t>Hạ tầng lưu trữ (Hosting)</t>
  </si>
  <si>
    <t>Yêu cầu hạ tầng nhà nước/on-premise, hay dùng cloud thông thường?</t>
  </si>
  <si>
    <t>Ảnh hưởng tới chi phí DevOps và sơ đồ kiến trúc</t>
  </si>
  <si>
    <t>Dữ liệu thời gian thực (real-time)</t>
  </si>
  <si>
    <t>Demo hiện toàn bộ là dữ liệu tĩnh/giả lập - không có màn hình nào cập nhật theo thời gian thực (KPI Tổng quan, bảng Kanban, bản đồ, chuông thông báo đều cần tải lại trang mới thấy thay đổi).</t>
  </si>
  <si>
    <t>Những màn hình nào bắt buộc phải cập nhật theo thời gian thực (vd: công dân gửi phản ánh mới thì cán bộ thấy ngay trên Tổng quan/Kanban mà không cần tải lại trang), hay tải lại/làm mới định kỳ (vài giây - vài phút) là đủ cho Giai đoạn 1?</t>
  </si>
  <si>
    <t>Ghi chú: các câu hỏi về từng nút/màn hình cụ thể (trước đây ở mục Web Quản trị / Ứng dụng Di động) nay được gắn trực tiếp vào từng trang trên tab WBS &amp; Cost, đánh dấu bằng dòng có biểu tượng ❓ ngay bên dưới trang liên quan - dễ đối chiếu hơn khi anh/chị và khách hàng rà soát theo từng màn hình.</t>
  </si>
  <si>
    <t>Tech Stack - Phase 1</t>
  </si>
  <si>
    <t>1. DevOps</t>
  </si>
  <si>
    <t>Thành phần</t>
  </si>
  <si>
    <t>Công nghệ</t>
  </si>
  <si>
    <t>CI/CD</t>
  </si>
  <si>
    <t>Jenkins</t>
  </si>
  <si>
    <t/>
  </si>
  <si>
    <t>Container hóa</t>
  </si>
  <si>
    <t>Docker</t>
  </si>
  <si>
    <t>2. BE Services (dịch vụ backend dùng chung)</t>
  </si>
  <si>
    <t>Cơ sở dữ liệu</t>
  </si>
  <si>
    <t>MongoDB</t>
  </si>
  <si>
    <t>Xử lý tác vụ định kỳ</t>
  </si>
  <si>
    <t>CronJob</t>
  </si>
  <si>
    <t>Message Queue</t>
  </si>
  <si>
    <t>RabbitMQ</t>
  </si>
  <si>
    <t>Giao tiếp thời gian thực</t>
  </si>
  <si>
    <t>Socket.IO</t>
  </si>
  <si>
    <t>Nhận dạng ký tự (OCR)</t>
  </si>
  <si>
    <t>OCR (bên thứ ba - TBD)</t>
  </si>
  <si>
    <t>Chưa xác định nhà cung cấp / giải pháp cụ thể</t>
  </si>
  <si>
    <t>Bản đồ / Định vị (MapView)</t>
  </si>
  <si>
    <t>MapView (bên thứ ba - TBD)</t>
  </si>
  <si>
    <t>3. Ngăn xếp theo thành phần (Application Stack)</t>
  </si>
  <si>
    <t>Micro-service BE</t>
  </si>
  <si>
    <t>NestJS (monorepo)</t>
  </si>
  <si>
    <t>Web Admin</t>
  </si>
  <si>
    <t>Next.js</t>
  </si>
  <si>
    <t>Zalo Mini App</t>
  </si>
  <si>
    <t>ReactJS (theo template nền của Zalo) + Wrapper SDK giao tiếp Zalo App</t>
  </si>
  <si>
    <t>Vite.js dùng làm build tool / compiler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</si>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</sst>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#,##0;\-#,##0"/>
  </numFmts>
  <fonts count="18" x14ac:knownFonts="1">
    <font>
      <sz val="11"/>
      <color theme="1"/>
      <name val="Calibri"/>
      <charset val="1"/>
    </font>
    <font>
      <b/>
      <sz val="14"/>
      <color rgb="FF1B3A5C"/>
      <name val="Arial"/>
      <charset val="134"/>
    </font>
    <font>
      <b/>
      <sz val="12"/>
      <color rgb="FFFFFFFF"/>
      <name val="Arial"/>
      <charset val="134"/>
    </font>
    <font>
      <b/>
      <sz val="11"/>
      <color rgb="FFFFFFFF"/>
      <name val="Arial"/>
      <charset val="134"/>
    </font>
    <font>
      <sz val="11"/>
      <color rgb="FF000000"/>
      <name val="Arial"/>
      <charset val="134"/>
    </font>
    <font>
      <i/>
      <sz val="11"/>
      <color rgb="FF8896A6"/>
      <name val="Arial"/>
      <charset val="134"/>
    </font>
    <font>
      <b/>
      <sz val="14"/>
      <color rgb="FF1B3A5C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i/>
      <sz val="9"/>
      <color rgb="FF8896A6"/>
      <name val="Arial"/>
      <charset val="1"/>
    </font>
    <font>
      <b/>
      <sz val="11"/>
      <name val="Arial"/>
      <charset val="1"/>
    </font>
    <font>
      <i/>
      <sz val="11"/>
      <color rgb="FF8896A6"/>
      <name val="Arial"/>
      <charset val="1"/>
    </font>
    <font>
      <b/>
      <sz val="12"/>
      <color rgb="FF1B3A5C"/>
      <name val="Arial"/>
      <charset val="1"/>
    </font>
    <font>
      <b/>
      <sz val="14"/>
      <color rgb="FFFF0000"/>
      <name val="Arial"/>
      <charset val="1"/>
    </font>
    <font>
      <sz val="11"/>
      <color rgb="FF0000FF"/>
      <name val="Arial"/>
      <charset val="1"/>
    </font>
    <font>
      <i/>
      <sz val="11"/>
      <color rgb="FF6B7684"/>
      <name val="Arial"/>
      <charset val="1"/>
    </font>
    <font>
      <i/>
      <sz val="11"/>
      <color rgb="FF6B7684"/>
      <name val="Times New Roman"/>
      <charset val="1"/>
    </font>
    <font>
      <i/>
      <sz val="11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B3A5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B3A5C"/>
        <bgColor rgb="FF333333"/>
      </patternFill>
    </fill>
    <fill>
      <patternFill patternType="solid">
        <fgColor rgb="FFDCE7F2"/>
        <bgColor rgb="FFDCEFE0"/>
      </patternFill>
    </fill>
    <fill>
      <patternFill patternType="solid">
        <fgColor rgb="FFFFFF00"/>
        <bgColor rgb="FFFFFF00"/>
      </patternFill>
    </fill>
    <fill>
      <patternFill patternType="solid">
        <fgColor rgb="FFE8DCF2"/>
        <bgColor rgb="FFDCE7F2"/>
      </patternFill>
    </fill>
    <fill>
      <patternFill patternType="solid">
        <fgColor rgb="FFDCEFE0"/>
        <bgColor rgb="FFDCE7F2"/>
      </patternFill>
    </fill>
    <fill>
      <patternFill patternType="solid">
        <fgColor rgb="FFFCEBD5"/>
        <bgColor rgb="FFFFF7E0"/>
      </patternFill>
    </fill>
    <fill>
      <patternFill patternType="solid">
        <fgColor rgb="FFFFF7E0"/>
        <bgColor rgb="FFF9F9F9"/>
      </patternFill>
    </fill>
    <fill>
      <patternFill patternType="solid">
        <fgColor rgb="FFFFCC99"/>
        <bgColor rgb="FFFCEBD5"/>
      </patternFill>
    </fill>
  </fills>
  <borders count="4">
    <border>
      <left/>
      <right/>
      <top/>
      <bottom/>
      <diagonal/>
    </border>
    <border>
      <left style="thin">
        <color rgb="FFB7C0C9"/>
      </left>
      <right style="thin">
        <color rgb="FFB7C0C9"/>
      </right>
      <top style="thin">
        <color rgb="FFB7C0C9"/>
      </top>
      <bottom style="thin">
        <color rgb="FFB7C0C9"/>
      </bottom>
      <diagonal/>
    </border>
    <border>
      <left/>
      <right/>
      <top style="thin">
        <color rgb="FFB7C0C9"/>
      </top>
      <bottom style="thin">
        <color rgb="FFB7C0C9"/>
      </bottom>
      <diagonal/>
    </border>
    <border>
      <left/>
      <right style="thin">
        <color rgb="FFB7C0C9"/>
      </right>
      <top style="thin">
        <color rgb="FFB7C0C9"/>
      </top>
      <bottom style="thin">
        <color rgb="FFB7C0C9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7" fillId="4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Fill="1" applyAlignment="1">
      <alignment vertical="center" wrapText="1"/>
    </xf>
    <xf numFmtId="0" fontId="8" fillId="0" borderId="0" xfId="0" applyFont="1" applyFill="1" applyAlignment="1">
      <alignment vertical="top" wrapText="1"/>
    </xf>
    <xf numFmtId="0" fontId="8" fillId="0" borderId="0" xfId="0" applyFont="1" applyFill="1" applyAlignment="1">
      <alignment vertical="top" wrapText="1"/>
    </xf>
    <xf numFmtId="164" fontId="0" fillId="0" borderId="1" xfId="0" applyNumberFormat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8" fillId="7" borderId="1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vertical="center" wrapText="1"/>
    </xf>
    <xf numFmtId="0" fontId="10" fillId="0" borderId="1" xfId="0" applyFont="1" applyBorder="1"/>
    <xf numFmtId="164" fontId="10" fillId="0" borderId="1" xfId="0" applyNumberFormat="1" applyFont="1" applyBorder="1"/>
    <xf numFmtId="3" fontId="10" fillId="0" borderId="1" xfId="0" applyNumberFormat="1" applyFont="1" applyBorder="1"/>
    <xf numFmtId="0" fontId="8" fillId="0" borderId="1" xfId="0" applyFont="1" applyBorder="1"/>
    <xf numFmtId="0" fontId="0" fillId="0" borderId="1" xfId="0" applyBorder="1"/>
    <xf numFmtId="3" fontId="0" fillId="0" borderId="1" xfId="0" applyNumberFormat="1" applyBorder="1"/>
    <xf numFmtId="0" fontId="11" fillId="0" borderId="1" xfId="0" applyFont="1" applyBorder="1"/>
    <xf numFmtId="0" fontId="12" fillId="0" borderId="1" xfId="0" applyFont="1" applyBorder="1"/>
    <xf numFmtId="3" fontId="12" fillId="0" borderId="1" xfId="0" applyNumberFormat="1" applyFont="1" applyBorder="1"/>
    <xf numFmtId="0" fontId="0" fillId="0" borderId="0" xfId="0" applyAlignment="1">
      <alignment horizontal="right"/>
    </xf>
    <xf numFmtId="0" fontId="7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165" fontId="13" fillId="4" borderId="1" xfId="0" applyNumberFormat="1" applyFont="1" applyFill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vertical="center" wrapText="1"/>
    </xf>
    <xf numFmtId="0" fontId="15" fillId="10" borderId="1" xfId="0" applyFont="1" applyFill="1" applyBorder="1" applyAlignment="1">
      <alignment vertical="center" wrapText="1"/>
    </xf>
    <xf numFmtId="164" fontId="14" fillId="10" borderId="1" xfId="0" applyNumberFormat="1" applyFont="1" applyFill="1" applyBorder="1" applyAlignment="1">
      <alignment horizontal="center" vertical="center" wrapText="1"/>
    </xf>
    <xf numFmtId="164" fontId="8" fillId="10" borderId="1" xfId="0" applyNumberFormat="1" applyFont="1" applyFill="1" applyBorder="1" applyAlignment="1">
      <alignment horizontal="center" vertical="center" wrapText="1"/>
    </xf>
    <xf numFmtId="3" fontId="8" fillId="10" borderId="1" xfId="0" applyNumberFormat="1" applyFont="1" applyFill="1" applyBorder="1" applyAlignment="1">
      <alignment vertical="center" wrapText="1"/>
    </xf>
    <xf numFmtId="0" fontId="8" fillId="11" borderId="1" xfId="0" applyFont="1" applyFill="1" applyBorder="1" applyAlignment="1">
      <alignment vertical="center" wrapText="1"/>
    </xf>
    <xf numFmtId="164" fontId="14" fillId="11" borderId="1" xfId="0" applyNumberFormat="1" applyFont="1" applyFill="1" applyBorder="1" applyAlignment="1">
      <alignment horizontal="center" vertical="center" wrapText="1"/>
    </xf>
    <xf numFmtId="164" fontId="8" fillId="11" borderId="1" xfId="0" applyNumberFormat="1" applyFont="1" applyFill="1" applyBorder="1" applyAlignment="1">
      <alignment horizontal="center" vertical="center" wrapText="1"/>
    </xf>
    <xf numFmtId="3" fontId="8" fillId="11" borderId="1" xfId="0" applyNumberFormat="1" applyFont="1" applyFill="1" applyBorder="1" applyAlignment="1">
      <alignment vertical="center" wrapText="1"/>
    </xf>
    <xf numFmtId="0" fontId="16" fillId="10" borderId="1" xfId="0" applyFont="1" applyFill="1" applyBorder="1" applyAlignment="1">
      <alignment vertical="center" wrapText="1"/>
    </xf>
    <xf numFmtId="164" fontId="14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14" fillId="6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4" fillId="6" borderId="1" xfId="0" applyFont="1" applyFill="1" applyBorder="1" applyAlignment="1">
      <alignment horizontal="center" vertical="center" wrapText="1"/>
    </xf>
    <xf numFmtId="9" fontId="14" fillId="6" borderId="1" xfId="0" applyNumberFormat="1" applyFont="1" applyFill="1" applyBorder="1" applyAlignment="1">
      <alignment horizontal="center" vertical="center" wrapText="1"/>
    </xf>
    <xf numFmtId="0" fontId="8" fillId="0" borderId="1" xfId="0" quotePrefix="1" applyFont="1" applyBorder="1" applyAlignment="1">
      <alignment vertical="center" wrapText="1"/>
    </xf>
    <xf numFmtId="0" fontId="8" fillId="11" borderId="1" xfId="0" quotePrefix="1" applyFont="1" applyFill="1" applyBorder="1" applyAlignment="1">
      <alignment vertical="center" wrapText="1"/>
    </xf>
    <xf numFmtId="0" fontId="17" fillId="0" borderId="0" xfId="0" applyFont="1"/>
    <xf numFmtId="0" fontId="0" fillId="0" borderId="0" xfId="0" applyAlignment="1">
      <alignment horizontal="center" vertical="center"/>
    </xf>
    <xf numFmtId="0" fontId="0" fillId="0" borderId="0" xfId="0"/>
    <xf numFmtId="0" fontId="6" fillId="0" borderId="0" xfId="0" applyFont="1"/>
    <xf numFmtId="0" fontId="7" fillId="4" borderId="1" xfId="0" applyFont="1" applyFill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9" fillId="0" borderId="0" xfId="0" applyFont="1"/>
    <xf numFmtId="0" fontId="0" fillId="0" borderId="0" xfId="0" applyAlignment="1">
      <alignment horizontal="right"/>
    </xf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2" fillId="2" borderId="0" xfId="0" applyFont="1" applyFill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7C0C9"/>
      <rgbColor rgb="00878787"/>
      <rgbColor rgb="009999FF"/>
      <rgbColor rgb="00993366"/>
      <rgbColor rgb="00FFF7E0"/>
      <rgbColor rgb="00DCE7F2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9F9F9"/>
      <rgbColor rgb="00DCEFE0"/>
      <rgbColor rgb="00FCEBD5"/>
      <rgbColor rgb="00E8DCF2"/>
      <rgbColor rgb="00FF99CC"/>
      <rgbColor rgb="00CC99FF"/>
      <rgbColor rgb="00FFCC99"/>
      <rgbColor rgb="004F81BD"/>
      <rgbColor rgb="0033CCCC"/>
      <rgbColor rgb="0099CC00"/>
      <rgbColor rgb="00FFCC00"/>
      <rgbColor rgb="00FF9900"/>
      <rgbColor rgb="00FF6600"/>
      <rgbColor rgb="006B7684"/>
      <rgbColor rgb="008896A6"/>
      <rgbColor rgb="001B3A5C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Chi phí cơ sở theo Nhóm (VND)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Summary!$C$3</c:f>
              <c:strCache>
                <c:ptCount val="1"/>
                <c:pt idx="0">
                  <c:v>Chi phí (VND)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Arial" panose="020B0604020202090204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Summary!$A$4:$A$7</c:f>
              <c:strCache>
                <c:ptCount val="4"/>
                <c:pt idx="0">
                  <c:v>Web Quản trị</c:v>
                </c:pt>
                <c:pt idx="1">
                  <c:v>Ứng dụng Di động</c:v>
                </c:pt>
                <c:pt idx="2">
                  <c:v>Nền tảng &amp; Backend</c:v>
                </c:pt>
                <c:pt idx="3">
                  <c:v>Quản lý dự án, QA &amp; DevOps</c:v>
                </c:pt>
              </c:strCache>
            </c:strRef>
          </c:cat>
          <c:val>
            <c:numRef>
              <c:f>Summary!$C$4:$C$7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F1-0A41-B009-3F023AAD5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axId val="68604740"/>
        <c:axId val="72918492"/>
      </c:barChart>
      <c:catAx>
        <c:axId val="6860474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Nhóm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72918492"/>
        <c:crosses val="autoZero"/>
        <c:auto val="1"/>
        <c:lblAlgn val="ctr"/>
        <c:lblOffset val="100"/>
        <c:noMultiLvlLbl val="0"/>
      </c:catAx>
      <c:valAx>
        <c:axId val="72918492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Chi phí (VND)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68604740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6b17591-6df9-494f-b62e-898329417410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160560</xdr:rowOff>
    </xdr:from>
    <xdr:to>
      <xdr:col>14</xdr:col>
      <xdr:colOff>252720</xdr:colOff>
      <xdr:row>16</xdr:row>
      <xdr:rowOff>179280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showGridLines="0" workbookViewId="0">
      <selection activeCell="C26" sqref="C26"/>
    </sheetView>
  </sheetViews>
  <sheetFormatPr baseColWidth="10" defaultColWidth="8.6640625" defaultRowHeight="15" x14ac:dyDescent="0.2"/>
  <cols>
    <col min="1" max="1" width="40" customWidth="1"/>
    <col min="2" max="2" width="18" style="45" customWidth="1"/>
    <col min="3" max="3" width="52" customWidth="1"/>
  </cols>
  <sheetData>
    <row r="1" spans="1:4" ht="20.25" customHeight="1" x14ac:dyDescent="0.2">
      <c r="A1" s="55" t="s">
        <v>0</v>
      </c>
      <c r="B1" s="53"/>
      <c r="C1" s="54"/>
    </row>
    <row r="3" spans="1:4" ht="16.5" customHeight="1" x14ac:dyDescent="0.2">
      <c r="A3" s="6" t="s">
        <v>1</v>
      </c>
      <c r="B3" s="29" t="s">
        <v>2</v>
      </c>
      <c r="C3" s="6" t="s">
        <v>3</v>
      </c>
    </row>
    <row r="4" spans="1:4" ht="84" customHeight="1" x14ac:dyDescent="0.2">
      <c r="A4" s="7" t="s">
        <v>4</v>
      </c>
      <c r="B4" s="46">
        <v>1300000</v>
      </c>
      <c r="C4" s="47" t="s">
        <v>5</v>
      </c>
      <c r="D4" s="45"/>
    </row>
    <row r="6" spans="1:4" ht="15" customHeight="1" x14ac:dyDescent="0.2">
      <c r="A6" s="56" t="s">
        <v>6</v>
      </c>
      <c r="B6" s="57"/>
      <c r="C6" s="58"/>
    </row>
    <row r="7" spans="1:4" ht="33.75" customHeight="1" x14ac:dyDescent="0.2">
      <c r="A7" s="7" t="s">
        <v>7</v>
      </c>
      <c r="B7" s="48">
        <v>1</v>
      </c>
      <c r="C7" s="47" t="s">
        <v>8</v>
      </c>
    </row>
    <row r="8" spans="1:4" ht="16.5" customHeight="1" x14ac:dyDescent="0.2">
      <c r="A8" s="7" t="s">
        <v>9</v>
      </c>
      <c r="B8" s="49">
        <v>0.15</v>
      </c>
      <c r="C8" s="47" t="s">
        <v>10</v>
      </c>
    </row>
    <row r="9" spans="1:4" ht="16.5" customHeight="1" x14ac:dyDescent="0.2">
      <c r="A9" s="7" t="s">
        <v>11</v>
      </c>
      <c r="B9" s="49">
        <v>0.2</v>
      </c>
      <c r="C9" s="47" t="s">
        <v>12</v>
      </c>
    </row>
    <row r="10" spans="1:4" ht="16.5" customHeight="1" x14ac:dyDescent="0.2">
      <c r="A10" s="7" t="s">
        <v>13</v>
      </c>
      <c r="B10" s="49">
        <v>0.2</v>
      </c>
      <c r="C10" s="47" t="s">
        <v>12</v>
      </c>
    </row>
    <row r="12" spans="1:4" ht="16.5" customHeight="1" x14ac:dyDescent="0.2">
      <c r="A12" s="59" t="s">
        <v>14</v>
      </c>
      <c r="B12" s="53"/>
      <c r="C12" s="54"/>
    </row>
    <row r="14" spans="1:4" ht="26.25" customHeight="1" x14ac:dyDescent="0.2">
      <c r="A14" s="56" t="s">
        <v>15</v>
      </c>
      <c r="B14" s="57"/>
      <c r="C14" s="58"/>
    </row>
    <row r="15" spans="1:4" ht="16.5" customHeight="1" x14ac:dyDescent="0.2">
      <c r="A15" s="52" t="s">
        <v>16</v>
      </c>
      <c r="B15" s="53"/>
      <c r="C15" s="54"/>
    </row>
    <row r="16" spans="1:4" ht="16.5" customHeight="1" x14ac:dyDescent="0.2">
      <c r="A16" s="52" t="s">
        <v>17</v>
      </c>
      <c r="B16" s="53"/>
      <c r="C16" s="54"/>
    </row>
    <row r="17" spans="1:3" ht="16.5" customHeight="1" x14ac:dyDescent="0.2">
      <c r="A17" s="52" t="s">
        <v>18</v>
      </c>
      <c r="B17" s="53"/>
      <c r="C17" s="54"/>
    </row>
  </sheetData>
  <mergeCells count="7">
    <mergeCell ref="A16:C16"/>
    <mergeCell ref="A17:C17"/>
    <mergeCell ref="A1:C1"/>
    <mergeCell ref="A6:C6"/>
    <mergeCell ref="A12:C12"/>
    <mergeCell ref="A14:C14"/>
    <mergeCell ref="A15:C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6"/>
  <sheetViews>
    <sheetView showGridLines="0" tabSelected="1" workbookViewId="0">
      <pane ySplit="2" topLeftCell="A3" activePane="bottomLeft" state="frozen"/>
      <selection pane="bottomLeft" activeCell="D50" sqref="D50"/>
    </sheetView>
  </sheetViews>
  <sheetFormatPr baseColWidth="10" defaultColWidth="8.6640625" defaultRowHeight="15" outlineLevelRow="1" x14ac:dyDescent="0.2"/>
  <cols>
    <col min="1" max="1" width="4" customWidth="1"/>
    <col min="2" max="2" width="15" customWidth="1"/>
    <col min="3" max="3" width="24" customWidth="1"/>
    <col min="4" max="4" width="63.83203125" customWidth="1"/>
    <col min="5" max="5" width="10" customWidth="1"/>
    <col min="6" max="6" width="12.1640625" customWidth="1"/>
    <col min="7" max="7" width="14.33203125" customWidth="1"/>
    <col min="8" max="8" width="12.6640625" customWidth="1"/>
    <col min="9" max="9" width="10.6640625" customWidth="1"/>
    <col min="10" max="10" width="15.83203125" style="28" customWidth="1"/>
  </cols>
  <sheetData>
    <row r="1" spans="1:10" ht="20.25" customHeight="1" x14ac:dyDescent="0.2">
      <c r="A1" s="55" t="s">
        <v>19</v>
      </c>
      <c r="B1" s="54"/>
      <c r="C1" s="54"/>
      <c r="D1" s="54"/>
      <c r="E1" s="54"/>
      <c r="F1" s="54"/>
      <c r="G1" s="54"/>
      <c r="H1" s="54"/>
      <c r="I1" s="54"/>
      <c r="J1" s="60"/>
    </row>
    <row r="2" spans="1:10" ht="51" customHeight="1" x14ac:dyDescent="0.2">
      <c r="A2" s="6" t="s">
        <v>20</v>
      </c>
      <c r="B2" s="6" t="s">
        <v>21</v>
      </c>
      <c r="C2" s="6" t="s">
        <v>22</v>
      </c>
      <c r="D2" s="6" t="s">
        <v>23</v>
      </c>
      <c r="E2" s="6"/>
      <c r="F2" s="6"/>
      <c r="G2" s="6"/>
      <c r="H2" s="6"/>
      <c r="I2" s="6"/>
      <c r="J2" s="29"/>
    </row>
    <row r="3" spans="1:10" ht="20.25" customHeight="1" x14ac:dyDescent="0.2">
      <c r="A3" s="6"/>
      <c r="B3" s="6"/>
      <c r="C3" s="6"/>
      <c r="D3" s="6"/>
      <c r="E3" s="6"/>
      <c r="F3" s="30"/>
      <c r="G3" s="30"/>
      <c r="H3" s="30"/>
      <c r="I3" s="30"/>
      <c r="J3" s="31"/>
    </row>
    <row r="4" spans="1:10" ht="168" customHeight="1" x14ac:dyDescent="0.2">
      <c r="A4" s="7">
        <v>1</v>
      </c>
      <c r="B4" s="8" t="s">
        <v>25</v>
      </c>
      <c r="C4" s="7" t="s">
        <v>26</v>
      </c>
      <c r="D4" s="7" t="s">
        <v>27</v>
      </c>
      <c r="E4" s="7"/>
      <c r="F4" s="32"/>
      <c r="G4" s="33"/>
      <c r="H4" s="33"/>
      <c r="I4" s="33"/>
      <c r="J4" s="34"/>
    </row>
    <row r="5" spans="1:10" ht="33.75" customHeight="1" outlineLevel="1" x14ac:dyDescent="0.2">
      <c r="A5" s="35"/>
      <c r="B5" s="35" t="s">
        <v>25</v>
      </c>
      <c r="C5" s="35" t="s">
        <v>28</v>
      </c>
      <c r="D5" s="35" t="s">
        <v>29</v>
      </c>
      <c r="E5" s="35"/>
      <c r="F5" s="36"/>
      <c r="G5" s="37"/>
      <c r="H5" s="37"/>
      <c r="I5" s="37"/>
      <c r="J5" s="38"/>
    </row>
    <row r="6" spans="1:10" ht="33.75" customHeight="1" outlineLevel="1" x14ac:dyDescent="0.2">
      <c r="A6" s="35"/>
      <c r="B6" s="35" t="s">
        <v>25</v>
      </c>
      <c r="C6" s="35" t="s">
        <v>28</v>
      </c>
      <c r="D6" s="35" t="s">
        <v>30</v>
      </c>
      <c r="E6" s="35"/>
      <c r="F6" s="36"/>
      <c r="G6" s="37"/>
      <c r="H6" s="37"/>
      <c r="I6" s="37"/>
      <c r="J6" s="38"/>
    </row>
    <row r="7" spans="1:10" ht="33.75" customHeight="1" outlineLevel="1" x14ac:dyDescent="0.2">
      <c r="A7" s="35"/>
      <c r="B7" s="35" t="s">
        <v>25</v>
      </c>
      <c r="C7" s="35" t="s">
        <v>28</v>
      </c>
      <c r="D7" s="35" t="s">
        <v>31</v>
      </c>
      <c r="E7" s="35"/>
      <c r="F7" s="36"/>
      <c r="G7" s="37"/>
      <c r="H7" s="37"/>
      <c r="I7" s="37"/>
      <c r="J7" s="38"/>
    </row>
    <row r="8" spans="1:10" ht="33.75" customHeight="1" outlineLevel="1" x14ac:dyDescent="0.2">
      <c r="A8" s="35"/>
      <c r="B8" s="35" t="s">
        <v>25</v>
      </c>
      <c r="C8" s="35" t="s">
        <v>28</v>
      </c>
      <c r="D8" s="35" t="s">
        <v>32</v>
      </c>
      <c r="E8" s="35"/>
      <c r="F8" s="36"/>
      <c r="G8" s="37"/>
      <c r="H8" s="37"/>
      <c r="I8" s="37"/>
      <c r="J8" s="38"/>
    </row>
    <row r="9" spans="1:10" ht="117.75" customHeight="1" x14ac:dyDescent="0.2">
      <c r="A9" s="7">
        <v>2</v>
      </c>
      <c r="B9" s="8" t="s">
        <v>25</v>
      </c>
      <c r="C9" s="7" t="s">
        <v>33</v>
      </c>
      <c r="D9" s="7" t="s">
        <v>34</v>
      </c>
      <c r="E9" s="7"/>
      <c r="F9" s="32"/>
      <c r="G9" s="33"/>
      <c r="H9" s="33"/>
      <c r="I9" s="33"/>
      <c r="J9" s="34"/>
    </row>
    <row r="10" spans="1:10" ht="33.75" customHeight="1" outlineLevel="1" x14ac:dyDescent="0.2">
      <c r="A10" s="35"/>
      <c r="B10" s="35" t="s">
        <v>25</v>
      </c>
      <c r="C10" s="35" t="s">
        <v>28</v>
      </c>
      <c r="D10" s="35" t="s">
        <v>35</v>
      </c>
      <c r="E10" s="35"/>
      <c r="F10" s="36"/>
      <c r="G10" s="37"/>
      <c r="H10" s="37"/>
      <c r="I10" s="37"/>
      <c r="J10" s="38"/>
    </row>
    <row r="11" spans="1:10" ht="168" customHeight="1" x14ac:dyDescent="0.2">
      <c r="A11" s="7">
        <v>3</v>
      </c>
      <c r="B11" s="8" t="s">
        <v>25</v>
      </c>
      <c r="C11" s="7" t="s">
        <v>36</v>
      </c>
      <c r="D11" s="7" t="s">
        <v>37</v>
      </c>
      <c r="E11" s="7"/>
      <c r="F11" s="32"/>
      <c r="G11" s="33"/>
      <c r="H11" s="33"/>
      <c r="I11" s="33"/>
      <c r="J11" s="34"/>
    </row>
    <row r="12" spans="1:10" ht="67.5" customHeight="1" outlineLevel="1" x14ac:dyDescent="0.2">
      <c r="A12" s="35"/>
      <c r="B12" s="35" t="s">
        <v>25</v>
      </c>
      <c r="C12" s="35" t="s">
        <v>28</v>
      </c>
      <c r="D12" s="35" t="s">
        <v>38</v>
      </c>
      <c r="E12" s="35"/>
      <c r="F12" s="36"/>
      <c r="G12" s="37"/>
      <c r="H12" s="37"/>
      <c r="I12" s="37"/>
      <c r="J12" s="38"/>
    </row>
    <row r="13" spans="1:10" ht="151.5" customHeight="1" x14ac:dyDescent="0.2">
      <c r="A13" s="7">
        <v>4</v>
      </c>
      <c r="B13" s="8" t="s">
        <v>25</v>
      </c>
      <c r="C13" s="7" t="s">
        <v>39</v>
      </c>
      <c r="D13" s="7" t="s">
        <v>40</v>
      </c>
      <c r="E13" s="7"/>
      <c r="F13" s="32"/>
      <c r="G13" s="33"/>
      <c r="H13" s="33"/>
      <c r="I13" s="33"/>
      <c r="J13" s="34"/>
    </row>
    <row r="14" spans="1:10" ht="33.75" customHeight="1" outlineLevel="1" x14ac:dyDescent="0.2">
      <c r="A14" s="35"/>
      <c r="B14" s="35" t="s">
        <v>25</v>
      </c>
      <c r="C14" s="35" t="s">
        <v>28</v>
      </c>
      <c r="D14" s="35" t="s">
        <v>41</v>
      </c>
      <c r="E14" s="35"/>
      <c r="F14" s="36"/>
      <c r="G14" s="37"/>
      <c r="H14" s="37"/>
      <c r="I14" s="37"/>
      <c r="J14" s="38"/>
    </row>
    <row r="15" spans="1:10" ht="84" customHeight="1" x14ac:dyDescent="0.2">
      <c r="A15" s="7">
        <v>5</v>
      </c>
      <c r="B15" s="8" t="s">
        <v>25</v>
      </c>
      <c r="C15" s="7" t="s">
        <v>42</v>
      </c>
      <c r="D15" s="7" t="s">
        <v>43</v>
      </c>
      <c r="E15" s="7"/>
      <c r="F15" s="32"/>
      <c r="G15" s="33"/>
      <c r="H15" s="33"/>
      <c r="I15" s="33"/>
      <c r="J15" s="34"/>
    </row>
    <row r="16" spans="1:10" ht="51" customHeight="1" outlineLevel="1" x14ac:dyDescent="0.2">
      <c r="A16" s="35"/>
      <c r="B16" s="35" t="s">
        <v>25</v>
      </c>
      <c r="C16" s="35" t="s">
        <v>28</v>
      </c>
      <c r="D16" s="35" t="s">
        <v>44</v>
      </c>
      <c r="E16" s="35"/>
      <c r="F16" s="36"/>
      <c r="G16" s="37"/>
      <c r="H16" s="37"/>
      <c r="I16" s="37"/>
      <c r="J16" s="38"/>
    </row>
    <row r="17" spans="1:10" ht="33.75" customHeight="1" outlineLevel="1" x14ac:dyDescent="0.2">
      <c r="A17" s="35"/>
      <c r="B17" s="35" t="s">
        <v>25</v>
      </c>
      <c r="C17" s="35" t="s">
        <v>28</v>
      </c>
      <c r="D17" s="35" t="s">
        <v>45</v>
      </c>
      <c r="E17" s="35"/>
      <c r="F17" s="36"/>
      <c r="G17" s="37"/>
      <c r="H17" s="37"/>
      <c r="I17" s="37"/>
      <c r="J17" s="38"/>
    </row>
    <row r="18" spans="1:10" ht="33.75" customHeight="1" outlineLevel="1" x14ac:dyDescent="0.2">
      <c r="A18" s="35"/>
      <c r="B18" s="35" t="s">
        <v>25</v>
      </c>
      <c r="C18" s="35" t="s">
        <v>28</v>
      </c>
      <c r="D18" s="35" t="s">
        <v>46</v>
      </c>
      <c r="E18" s="35"/>
      <c r="F18" s="36"/>
      <c r="G18" s="37"/>
      <c r="H18" s="37"/>
      <c r="I18" s="37"/>
      <c r="J18" s="38"/>
    </row>
    <row r="19" spans="1:10" ht="117.75" customHeight="1" x14ac:dyDescent="0.2">
      <c r="A19" s="7">
        <v>6</v>
      </c>
      <c r="B19" s="8" t="s">
        <v>25</v>
      </c>
      <c r="C19" s="7" t="s">
        <v>47</v>
      </c>
      <c r="D19" s="7" t="s">
        <v>48</v>
      </c>
      <c r="E19" s="7"/>
      <c r="F19" s="32"/>
      <c r="G19" s="33"/>
      <c r="H19" s="33"/>
      <c r="I19" s="33"/>
      <c r="J19" s="34"/>
    </row>
    <row r="20" spans="1:10" ht="51" customHeight="1" outlineLevel="1" x14ac:dyDescent="0.2">
      <c r="A20" s="35"/>
      <c r="B20" s="35" t="s">
        <v>25</v>
      </c>
      <c r="C20" s="35" t="s">
        <v>28</v>
      </c>
      <c r="D20" s="35" t="s">
        <v>49</v>
      </c>
      <c r="E20" s="35"/>
      <c r="F20" s="36"/>
      <c r="G20" s="37"/>
      <c r="H20" s="37"/>
      <c r="I20" s="37"/>
      <c r="J20" s="38"/>
    </row>
    <row r="21" spans="1:10" ht="33.75" customHeight="1" outlineLevel="1" x14ac:dyDescent="0.2">
      <c r="A21" s="35"/>
      <c r="B21" s="35" t="s">
        <v>25</v>
      </c>
      <c r="C21" s="35" t="s">
        <v>28</v>
      </c>
      <c r="D21" s="35" t="s">
        <v>50</v>
      </c>
      <c r="E21" s="35"/>
      <c r="F21" s="36"/>
      <c r="G21" s="37"/>
      <c r="H21" s="37"/>
      <c r="I21" s="37"/>
      <c r="J21" s="38"/>
    </row>
    <row r="22" spans="1:10" ht="84" customHeight="1" x14ac:dyDescent="0.2">
      <c r="A22" s="7">
        <v>7</v>
      </c>
      <c r="B22" s="8" t="s">
        <v>25</v>
      </c>
      <c r="C22" s="7" t="s">
        <v>51</v>
      </c>
      <c r="D22" s="7" t="s">
        <v>52</v>
      </c>
      <c r="E22" s="7"/>
      <c r="F22" s="32"/>
      <c r="G22" s="33"/>
      <c r="H22" s="33"/>
      <c r="I22" s="33"/>
      <c r="J22" s="34"/>
    </row>
    <row r="23" spans="1:10" ht="33.75" customHeight="1" outlineLevel="1" x14ac:dyDescent="0.2">
      <c r="A23" s="35"/>
      <c r="B23" s="35" t="s">
        <v>25</v>
      </c>
      <c r="C23" s="35" t="s">
        <v>28</v>
      </c>
      <c r="D23" s="35" t="s">
        <v>53</v>
      </c>
      <c r="E23" s="35"/>
      <c r="F23" s="36"/>
      <c r="G23" s="37"/>
      <c r="H23" s="37"/>
      <c r="I23" s="37"/>
      <c r="J23" s="38"/>
    </row>
    <row r="24" spans="1:10" ht="84" customHeight="1" outlineLevel="1" x14ac:dyDescent="0.2">
      <c r="A24" s="35"/>
      <c r="B24" s="35" t="s">
        <v>25</v>
      </c>
      <c r="C24" s="35" t="s">
        <v>28</v>
      </c>
      <c r="D24" s="35" t="s">
        <v>54</v>
      </c>
      <c r="E24" s="35"/>
      <c r="F24" s="36"/>
      <c r="G24" s="37"/>
      <c r="H24" s="37"/>
      <c r="I24" s="37"/>
      <c r="J24" s="38"/>
    </row>
    <row r="25" spans="1:10" ht="84" customHeight="1" x14ac:dyDescent="0.2">
      <c r="A25" s="7">
        <v>8</v>
      </c>
      <c r="B25" s="8" t="s">
        <v>25</v>
      </c>
      <c r="C25" s="7" t="s">
        <v>55</v>
      </c>
      <c r="D25" s="7" t="s">
        <v>56</v>
      </c>
      <c r="E25" s="7"/>
      <c r="F25" s="32"/>
      <c r="G25" s="33"/>
      <c r="H25" s="33"/>
      <c r="I25" s="33"/>
      <c r="J25" s="34"/>
    </row>
    <row r="26" spans="1:10" ht="33.75" customHeight="1" outlineLevel="1" x14ac:dyDescent="0.2">
      <c r="A26" s="35"/>
      <c r="B26" s="35" t="s">
        <v>25</v>
      </c>
      <c r="C26" s="35" t="s">
        <v>28</v>
      </c>
      <c r="D26" s="35" t="s">
        <v>57</v>
      </c>
      <c r="E26" s="35"/>
      <c r="F26" s="36"/>
      <c r="G26" s="37"/>
      <c r="H26" s="37"/>
      <c r="I26" s="37"/>
      <c r="J26" s="38"/>
    </row>
    <row r="27" spans="1:10" ht="118" customHeight="1" x14ac:dyDescent="0.2">
      <c r="A27" s="7">
        <v>9</v>
      </c>
      <c r="B27" s="8" t="s">
        <v>25</v>
      </c>
      <c r="C27" s="7" t="s">
        <v>58</v>
      </c>
      <c r="D27" s="50" t="s">
        <v>59</v>
      </c>
      <c r="E27" s="7"/>
      <c r="F27" s="32"/>
      <c r="G27" s="33"/>
      <c r="H27" s="33"/>
      <c r="I27" s="33"/>
      <c r="J27" s="34"/>
    </row>
    <row r="28" spans="1:10" ht="51" customHeight="1" outlineLevel="1" x14ac:dyDescent="0.2">
      <c r="A28" s="35"/>
      <c r="B28" s="35" t="s">
        <v>25</v>
      </c>
      <c r="C28" s="35" t="s">
        <v>28</v>
      </c>
      <c r="D28" s="35" t="s">
        <v>60</v>
      </c>
      <c r="E28" s="35"/>
      <c r="F28" s="36"/>
      <c r="G28" s="37"/>
      <c r="H28" s="37"/>
      <c r="I28" s="37"/>
      <c r="J28" s="38"/>
    </row>
    <row r="29" spans="1:10" ht="84" customHeight="1" outlineLevel="1" x14ac:dyDescent="0.2">
      <c r="A29" s="35"/>
      <c r="B29" s="35" t="s">
        <v>25</v>
      </c>
      <c r="C29" s="35" t="s">
        <v>28</v>
      </c>
      <c r="D29" s="35" t="s">
        <v>61</v>
      </c>
      <c r="E29" s="35"/>
      <c r="F29" s="36"/>
      <c r="G29" s="37"/>
      <c r="H29" s="37"/>
      <c r="I29" s="37"/>
      <c r="J29" s="38"/>
    </row>
    <row r="30" spans="1:10" ht="184.5" customHeight="1" x14ac:dyDescent="0.2">
      <c r="A30" s="39">
        <v>10</v>
      </c>
      <c r="B30" s="39" t="s">
        <v>25</v>
      </c>
      <c r="C30" s="39" t="s">
        <v>62</v>
      </c>
      <c r="D30" s="51" t="s">
        <v>63</v>
      </c>
      <c r="E30" s="39"/>
      <c r="F30" s="40"/>
      <c r="G30" s="41"/>
      <c r="H30" s="41"/>
      <c r="I30" s="41"/>
      <c r="J30" s="42"/>
    </row>
    <row r="31" spans="1:10" ht="68" customHeight="1" outlineLevel="1" x14ac:dyDescent="0.2">
      <c r="A31" s="35"/>
      <c r="B31" s="35" t="s">
        <v>25</v>
      </c>
      <c r="C31" s="35" t="s">
        <v>28</v>
      </c>
      <c r="D31" s="43" t="s">
        <v>64</v>
      </c>
      <c r="E31" s="35"/>
      <c r="F31" s="36"/>
      <c r="G31" s="37"/>
      <c r="H31" s="37"/>
      <c r="I31" s="37"/>
      <c r="J31" s="38"/>
    </row>
    <row r="32" spans="1:10" ht="117.75" customHeight="1" x14ac:dyDescent="0.2">
      <c r="A32" s="39">
        <v>11</v>
      </c>
      <c r="B32" s="39" t="s">
        <v>25</v>
      </c>
      <c r="C32" s="39" t="s">
        <v>65</v>
      </c>
      <c r="D32" s="39" t="s">
        <v>66</v>
      </c>
      <c r="E32" s="39"/>
      <c r="F32" s="40"/>
      <c r="G32" s="41"/>
      <c r="H32" s="41"/>
      <c r="I32" s="41"/>
      <c r="J32" s="42"/>
    </row>
    <row r="33" spans="1:10" ht="67.5" customHeight="1" outlineLevel="1" x14ac:dyDescent="0.2">
      <c r="A33" s="35"/>
      <c r="B33" s="35" t="s">
        <v>25</v>
      </c>
      <c r="C33" s="35" t="s">
        <v>28</v>
      </c>
      <c r="D33" s="43" t="s">
        <v>67</v>
      </c>
      <c r="E33" s="35"/>
      <c r="F33" s="36"/>
      <c r="G33" s="37"/>
      <c r="H33" s="37"/>
      <c r="I33" s="37"/>
      <c r="J33" s="38"/>
    </row>
    <row r="34" spans="1:10" ht="84" customHeight="1" x14ac:dyDescent="0.2">
      <c r="A34" s="7">
        <v>12</v>
      </c>
      <c r="B34" s="16" t="s">
        <v>68</v>
      </c>
      <c r="C34" s="7" t="s">
        <v>69</v>
      </c>
      <c r="D34" s="7" t="s">
        <v>70</v>
      </c>
      <c r="E34" s="7"/>
      <c r="F34" s="32"/>
      <c r="G34" s="33"/>
      <c r="H34" s="33"/>
      <c r="I34" s="33"/>
      <c r="J34" s="34"/>
    </row>
    <row r="35" spans="1:10" ht="84" customHeight="1" x14ac:dyDescent="0.2">
      <c r="A35" s="7">
        <v>13</v>
      </c>
      <c r="B35" s="16" t="s">
        <v>68</v>
      </c>
      <c r="C35" s="7" t="s">
        <v>71</v>
      </c>
      <c r="D35" s="7" t="s">
        <v>72</v>
      </c>
      <c r="E35" s="7"/>
      <c r="F35" s="32"/>
      <c r="G35" s="33"/>
      <c r="H35" s="33"/>
      <c r="I35" s="33"/>
      <c r="J35" s="34"/>
    </row>
    <row r="36" spans="1:10" ht="51" customHeight="1" outlineLevel="1" x14ac:dyDescent="0.2">
      <c r="A36" s="35"/>
      <c r="B36" s="35" t="s">
        <v>68</v>
      </c>
      <c r="C36" s="35" t="s">
        <v>28</v>
      </c>
      <c r="D36" s="35" t="s">
        <v>73</v>
      </c>
      <c r="E36" s="35"/>
      <c r="F36" s="36"/>
      <c r="G36" s="37"/>
      <c r="H36" s="37"/>
      <c r="I36" s="37"/>
      <c r="J36" s="38"/>
    </row>
    <row r="37" spans="1:10" ht="33.75" customHeight="1" outlineLevel="1" x14ac:dyDescent="0.2">
      <c r="A37" s="35"/>
      <c r="B37" s="35" t="s">
        <v>68</v>
      </c>
      <c r="C37" s="35" t="s">
        <v>28</v>
      </c>
      <c r="D37" s="35" t="s">
        <v>74</v>
      </c>
      <c r="E37" s="35"/>
      <c r="F37" s="36"/>
      <c r="G37" s="37"/>
      <c r="H37" s="37"/>
      <c r="I37" s="37"/>
      <c r="J37" s="38"/>
    </row>
    <row r="38" spans="1:10" ht="84" customHeight="1" x14ac:dyDescent="0.2">
      <c r="A38" s="7">
        <v>14</v>
      </c>
      <c r="B38" s="16" t="s">
        <v>68</v>
      </c>
      <c r="C38" s="7" t="s">
        <v>75</v>
      </c>
      <c r="D38" s="7" t="s">
        <v>76</v>
      </c>
      <c r="E38" s="7"/>
      <c r="F38" s="32"/>
      <c r="G38" s="33"/>
      <c r="H38" s="33"/>
      <c r="I38" s="33"/>
      <c r="J38" s="34"/>
    </row>
    <row r="39" spans="1:10" ht="135" customHeight="1" x14ac:dyDescent="0.2">
      <c r="A39" s="7">
        <v>15</v>
      </c>
      <c r="B39" s="16" t="s">
        <v>68</v>
      </c>
      <c r="C39" s="7" t="s">
        <v>77</v>
      </c>
      <c r="D39" s="7" t="s">
        <v>78</v>
      </c>
      <c r="E39" s="7"/>
      <c r="F39" s="32"/>
      <c r="G39" s="33"/>
      <c r="H39" s="33"/>
      <c r="I39" s="33"/>
      <c r="J39" s="34"/>
    </row>
    <row r="40" spans="1:10" ht="33.75" customHeight="1" outlineLevel="1" x14ac:dyDescent="0.2">
      <c r="A40" s="35"/>
      <c r="B40" s="35" t="s">
        <v>68</v>
      </c>
      <c r="C40" s="35" t="s">
        <v>28</v>
      </c>
      <c r="D40" s="35" t="s">
        <v>79</v>
      </c>
      <c r="E40" s="35"/>
      <c r="F40" s="36"/>
      <c r="G40" s="37"/>
      <c r="H40" s="37"/>
      <c r="I40" s="37"/>
      <c r="J40" s="38"/>
    </row>
    <row r="41" spans="1:10" ht="33.75" customHeight="1" x14ac:dyDescent="0.2">
      <c r="A41" s="7">
        <v>16</v>
      </c>
      <c r="B41" s="16" t="s">
        <v>68</v>
      </c>
      <c r="C41" s="7" t="s">
        <v>80</v>
      </c>
      <c r="D41" s="7" t="s">
        <v>81</v>
      </c>
      <c r="E41" s="7"/>
      <c r="F41" s="32"/>
      <c r="G41" s="33"/>
      <c r="H41" s="33"/>
      <c r="I41" s="33"/>
      <c r="J41" s="34"/>
    </row>
    <row r="42" spans="1:10" ht="67.5" customHeight="1" x14ac:dyDescent="0.2">
      <c r="A42" s="7">
        <v>17</v>
      </c>
      <c r="B42" s="16" t="s">
        <v>68</v>
      </c>
      <c r="C42" s="7" t="s">
        <v>82</v>
      </c>
      <c r="D42" s="7" t="s">
        <v>83</v>
      </c>
      <c r="E42" s="7"/>
      <c r="F42" s="32"/>
      <c r="G42" s="33"/>
      <c r="H42" s="33"/>
      <c r="I42" s="33"/>
      <c r="J42" s="34"/>
    </row>
    <row r="43" spans="1:10" ht="33.75" customHeight="1" x14ac:dyDescent="0.2">
      <c r="A43" s="7">
        <v>18</v>
      </c>
      <c r="B43" s="16" t="s">
        <v>68</v>
      </c>
      <c r="C43" s="7" t="s">
        <v>84</v>
      </c>
      <c r="D43" s="7" t="s">
        <v>85</v>
      </c>
      <c r="E43" s="7"/>
      <c r="F43" s="32"/>
      <c r="G43" s="33"/>
      <c r="H43" s="33"/>
      <c r="I43" s="33"/>
      <c r="J43" s="34"/>
    </row>
    <row r="44" spans="1:10" ht="33.75" customHeight="1" outlineLevel="1" x14ac:dyDescent="0.2">
      <c r="A44" s="35"/>
      <c r="B44" s="35" t="s">
        <v>68</v>
      </c>
      <c r="C44" s="35" t="s">
        <v>28</v>
      </c>
      <c r="D44" s="35" t="s">
        <v>86</v>
      </c>
      <c r="E44" s="35"/>
      <c r="F44" s="36"/>
      <c r="G44" s="37"/>
      <c r="H44" s="37"/>
      <c r="I44" s="37"/>
      <c r="J44" s="38"/>
    </row>
    <row r="45" spans="1:10" ht="51" customHeight="1" x14ac:dyDescent="0.2">
      <c r="A45" s="7">
        <v>19</v>
      </c>
      <c r="B45" s="16" t="s">
        <v>68</v>
      </c>
      <c r="C45" s="7" t="s">
        <v>87</v>
      </c>
      <c r="D45" s="7" t="s">
        <v>88</v>
      </c>
      <c r="E45" s="7"/>
      <c r="F45" s="32"/>
      <c r="G45" s="33"/>
      <c r="H45" s="33"/>
      <c r="I45" s="33"/>
      <c r="J45" s="34"/>
    </row>
    <row r="46" spans="1:10" ht="51" customHeight="1" x14ac:dyDescent="0.2">
      <c r="A46" s="7">
        <v>20</v>
      </c>
      <c r="B46" s="16" t="s">
        <v>68</v>
      </c>
      <c r="C46" s="7" t="s">
        <v>89</v>
      </c>
      <c r="D46" s="7" t="s">
        <v>90</v>
      </c>
      <c r="E46" s="7"/>
      <c r="F46" s="32"/>
      <c r="G46" s="33"/>
      <c r="H46" s="33"/>
      <c r="I46" s="33"/>
      <c r="J46" s="34"/>
    </row>
    <row r="47" spans="1:10" ht="33.75" customHeight="1" x14ac:dyDescent="0.2">
      <c r="A47" s="7">
        <v>21</v>
      </c>
      <c r="B47" s="17" t="s">
        <v>91</v>
      </c>
      <c r="C47" s="7" t="s">
        <v>92</v>
      </c>
      <c r="D47" s="7" t="s">
        <v>93</v>
      </c>
      <c r="E47" s="7"/>
      <c r="F47" s="32"/>
      <c r="G47" s="33"/>
      <c r="H47" s="33"/>
      <c r="I47" s="33"/>
      <c r="J47" s="34"/>
    </row>
    <row r="48" spans="1:10" ht="33.75" customHeight="1" x14ac:dyDescent="0.2">
      <c r="A48" s="7">
        <v>23</v>
      </c>
      <c r="B48" s="17" t="s">
        <v>91</v>
      </c>
      <c r="C48" s="7" t="s">
        <v>92</v>
      </c>
      <c r="D48" s="7" t="s">
        <v>94</v>
      </c>
      <c r="E48" s="7"/>
      <c r="F48" s="32"/>
      <c r="G48" s="33"/>
      <c r="H48" s="33"/>
      <c r="I48" s="33"/>
      <c r="J48" s="34"/>
    </row>
    <row r="49" spans="1:10" ht="33.75" customHeight="1" x14ac:dyDescent="0.2">
      <c r="A49" s="7">
        <v>24</v>
      </c>
      <c r="B49" s="17" t="s">
        <v>91</v>
      </c>
      <c r="C49" s="7" t="s">
        <v>92</v>
      </c>
      <c r="D49" s="7" t="s">
        <v>95</v>
      </c>
      <c r="E49" s="7"/>
      <c r="F49" s="32"/>
      <c r="G49" s="33"/>
      <c r="H49" s="33"/>
      <c r="I49" s="33"/>
      <c r="J49" s="34"/>
    </row>
    <row r="50" spans="1:10" ht="33.75" customHeight="1" x14ac:dyDescent="0.2">
      <c r="A50" s="7">
        <v>25</v>
      </c>
      <c r="B50" s="17" t="s">
        <v>91</v>
      </c>
      <c r="C50" s="7" t="s">
        <v>96</v>
      </c>
      <c r="D50" s="7" t="s">
        <v>97</v>
      </c>
      <c r="E50" s="7"/>
      <c r="F50" s="32"/>
      <c r="G50" s="33"/>
      <c r="H50" s="33"/>
      <c r="I50" s="33"/>
      <c r="J50" s="34"/>
    </row>
    <row r="51" spans="1:10" ht="33.75" customHeight="1" x14ac:dyDescent="0.2">
      <c r="A51" s="7">
        <v>26</v>
      </c>
      <c r="B51" s="17" t="s">
        <v>91</v>
      </c>
      <c r="C51" s="7" t="s">
        <v>96</v>
      </c>
      <c r="D51" s="7" t="s">
        <v>98</v>
      </c>
      <c r="E51" s="7"/>
      <c r="F51" s="32"/>
      <c r="G51" s="33"/>
      <c r="H51" s="33"/>
      <c r="I51" s="33"/>
      <c r="J51" s="34"/>
    </row>
    <row r="52" spans="1:10" ht="33.75" customHeight="1" x14ac:dyDescent="0.2">
      <c r="A52" s="7">
        <v>27</v>
      </c>
      <c r="B52" s="17" t="s">
        <v>91</v>
      </c>
      <c r="C52" s="7" t="s">
        <v>96</v>
      </c>
      <c r="D52" s="7" t="s">
        <v>99</v>
      </c>
      <c r="E52" s="7"/>
      <c r="F52" s="32"/>
      <c r="G52" s="33"/>
      <c r="H52" s="33"/>
      <c r="I52" s="33"/>
      <c r="J52" s="34"/>
    </row>
    <row r="53" spans="1:10" ht="33.75" customHeight="1" x14ac:dyDescent="0.2">
      <c r="A53" s="7">
        <v>28</v>
      </c>
      <c r="B53" s="17" t="s">
        <v>91</v>
      </c>
      <c r="C53" s="7" t="s">
        <v>92</v>
      </c>
      <c r="D53" s="7" t="s">
        <v>100</v>
      </c>
      <c r="E53" s="7"/>
      <c r="F53" s="32"/>
      <c r="G53" s="33"/>
      <c r="H53" s="33"/>
      <c r="I53" s="33"/>
      <c r="J53" s="34"/>
    </row>
    <row r="54" spans="1:10" ht="33.75" customHeight="1" x14ac:dyDescent="0.2">
      <c r="A54" s="7">
        <v>29</v>
      </c>
      <c r="B54" s="17" t="s">
        <v>91</v>
      </c>
      <c r="C54" s="7" t="s">
        <v>92</v>
      </c>
      <c r="D54" s="7" t="s">
        <v>101</v>
      </c>
      <c r="E54" s="7"/>
      <c r="F54" s="32"/>
      <c r="G54" s="33"/>
      <c r="H54" s="33"/>
      <c r="I54" s="33"/>
      <c r="J54" s="34"/>
    </row>
    <row r="55" spans="1:10" ht="33.75" customHeight="1" x14ac:dyDescent="0.2">
      <c r="A55" s="7">
        <v>30</v>
      </c>
      <c r="B55" s="17" t="s">
        <v>91</v>
      </c>
      <c r="C55" s="7" t="s">
        <v>92</v>
      </c>
      <c r="D55" s="7" t="s">
        <v>102</v>
      </c>
      <c r="E55" s="7"/>
      <c r="F55" s="32"/>
      <c r="G55" s="33"/>
      <c r="H55" s="33"/>
      <c r="I55" s="33"/>
      <c r="J55" s="34"/>
    </row>
    <row r="56" spans="1:10" ht="33.75" customHeight="1" x14ac:dyDescent="0.2">
      <c r="A56" s="39">
        <v>31</v>
      </c>
      <c r="B56" s="39" t="s">
        <v>91</v>
      </c>
      <c r="C56" s="39" t="s">
        <v>92</v>
      </c>
      <c r="D56" s="39" t="s">
        <v>103</v>
      </c>
      <c r="E56" s="39"/>
      <c r="F56" s="40"/>
      <c r="G56" s="41"/>
      <c r="H56" s="41"/>
      <c r="I56" s="41"/>
      <c r="J56" s="42"/>
    </row>
    <row r="57" spans="1:10" ht="33.75" customHeight="1" x14ac:dyDescent="0.2">
      <c r="A57" s="7">
        <v>34</v>
      </c>
      <c r="B57" s="18" t="s">
        <v>104</v>
      </c>
      <c r="C57" s="7" t="s">
        <v>105</v>
      </c>
      <c r="D57" s="7" t="s">
        <v>106</v>
      </c>
      <c r="E57" s="7"/>
      <c r="F57" s="32"/>
      <c r="G57" s="33"/>
      <c r="H57" s="33"/>
      <c r="I57" s="33"/>
      <c r="J57" s="34"/>
    </row>
    <row r="58" spans="1:10" ht="33.75" customHeight="1" x14ac:dyDescent="0.2">
      <c r="A58" s="7">
        <v>35</v>
      </c>
      <c r="B58" s="18" t="s">
        <v>104</v>
      </c>
      <c r="C58" s="7" t="s">
        <v>105</v>
      </c>
      <c r="D58" s="7" t="s">
        <v>107</v>
      </c>
      <c r="E58" s="7"/>
      <c r="F58" s="32"/>
      <c r="G58" s="33"/>
      <c r="H58" s="33"/>
      <c r="I58" s="33"/>
      <c r="J58" s="34"/>
    </row>
    <row r="59" spans="1:10" ht="33.75" customHeight="1" x14ac:dyDescent="0.2">
      <c r="A59" s="7">
        <v>36</v>
      </c>
      <c r="B59" s="18" t="s">
        <v>104</v>
      </c>
      <c r="C59" s="7" t="s">
        <v>105</v>
      </c>
      <c r="D59" s="7" t="s">
        <v>108</v>
      </c>
      <c r="E59" s="7"/>
      <c r="F59" s="32"/>
      <c r="G59" s="33"/>
      <c r="H59" s="33"/>
      <c r="I59" s="33"/>
      <c r="J59" s="34"/>
    </row>
    <row r="60" spans="1:10" ht="33.75" customHeight="1" x14ac:dyDescent="0.2">
      <c r="A60" s="7">
        <v>37</v>
      </c>
      <c r="B60" s="18" t="s">
        <v>104</v>
      </c>
      <c r="C60" s="7" t="s">
        <v>105</v>
      </c>
      <c r="D60" s="7" t="s">
        <v>109</v>
      </c>
      <c r="E60" s="7"/>
      <c r="F60" s="32"/>
      <c r="G60" s="33"/>
      <c r="H60" s="33"/>
      <c r="I60" s="33"/>
      <c r="J60" s="34"/>
    </row>
    <row r="61" spans="1:10" ht="33.75" customHeight="1" x14ac:dyDescent="0.2">
      <c r="A61" s="39">
        <v>38</v>
      </c>
      <c r="B61" s="39" t="s">
        <v>104</v>
      </c>
      <c r="C61" s="39" t="s">
        <v>105</v>
      </c>
      <c r="D61" s="39" t="s">
        <v>110</v>
      </c>
      <c r="E61" s="39"/>
      <c r="F61" s="40"/>
      <c r="G61" s="41"/>
      <c r="H61" s="41"/>
      <c r="I61" s="41"/>
      <c r="J61" s="42"/>
    </row>
    <row r="62" spans="1:10" ht="33.75" customHeight="1" x14ac:dyDescent="0.2">
      <c r="A62" s="7">
        <v>39</v>
      </c>
      <c r="B62" s="18" t="s">
        <v>104</v>
      </c>
      <c r="C62" s="7" t="s">
        <v>105</v>
      </c>
      <c r="D62" s="7" t="s">
        <v>111</v>
      </c>
      <c r="E62" s="7"/>
      <c r="F62" s="44"/>
      <c r="G62" s="33"/>
      <c r="H62" s="33"/>
      <c r="I62" s="33"/>
      <c r="J62" s="34"/>
    </row>
    <row r="63" spans="1:10" ht="16.5" customHeight="1" x14ac:dyDescent="0.2"/>
    <row r="64" spans="1:10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9"/>
  <sheetViews>
    <sheetView showGridLines="0" workbookViewId="0">
      <selection activeCell="C9" sqref="C9"/>
    </sheetView>
  </sheetViews>
  <sheetFormatPr baseColWidth="10" defaultColWidth="8.6640625" defaultRowHeight="15" x14ac:dyDescent="0.2"/>
  <cols>
    <col min="1" max="1" width="34" customWidth="1"/>
    <col min="2" max="2" width="17.33203125" customWidth="1"/>
    <col min="3" max="3" width="18" customWidth="1"/>
    <col min="4" max="4" width="46" customWidth="1"/>
    <col min="5" max="5" width="18" customWidth="1"/>
  </cols>
  <sheetData>
    <row r="1" spans="1:4" ht="20.25" customHeight="1" x14ac:dyDescent="0.2">
      <c r="A1" s="55" t="s">
        <v>112</v>
      </c>
      <c r="B1" s="54"/>
      <c r="C1" s="54"/>
      <c r="D1" s="54"/>
    </row>
    <row r="3" spans="1:4" ht="16.5" customHeight="1" x14ac:dyDescent="0.2">
      <c r="A3" s="6" t="s">
        <v>21</v>
      </c>
      <c r="B3" s="6" t="s">
        <v>113</v>
      </c>
      <c r="C3" s="6" t="s">
        <v>24</v>
      </c>
    </row>
    <row r="4" spans="1:4" ht="16.5" customHeight="1" x14ac:dyDescent="0.2">
      <c r="A4" s="8" t="s">
        <v>25</v>
      </c>
      <c r="B4" s="14">
        <f>SUMIFS(Estimation!$I$4:$I$62,Estimation!$B$4:$B$62,$A4)</f>
        <v>0</v>
      </c>
      <c r="C4" s="15">
        <f>SUMIFS(Estimation!$J$4:$J$62,Estimation!$B$4:$B$62,$A4)</f>
        <v>0</v>
      </c>
    </row>
    <row r="5" spans="1:4" ht="16.5" customHeight="1" x14ac:dyDescent="0.2">
      <c r="A5" s="16" t="s">
        <v>68</v>
      </c>
      <c r="B5" s="14">
        <f>SUMIFS(Estimation!$I$4:$I$62,Estimation!$B$4:$B$62,$A5)</f>
        <v>0</v>
      </c>
      <c r="C5" s="15">
        <f>SUMIFS(Estimation!$J$4:$J$62,Estimation!$B$4:$B$62,$A5)</f>
        <v>0</v>
      </c>
    </row>
    <row r="6" spans="1:4" ht="16.5" customHeight="1" x14ac:dyDescent="0.2">
      <c r="A6" s="17" t="s">
        <v>91</v>
      </c>
      <c r="B6" s="14">
        <f>SUMIFS(Estimation!$I$4:$I$62,Estimation!$B$4:$B$62,$A6)</f>
        <v>0</v>
      </c>
      <c r="C6" s="15">
        <f>SUMIFS(Estimation!$J$4:$J$62,Estimation!$B$4:$B$62,$A6)</f>
        <v>0</v>
      </c>
    </row>
    <row r="7" spans="1:4" ht="16.5" customHeight="1" x14ac:dyDescent="0.2">
      <c r="A7" s="18" t="s">
        <v>104</v>
      </c>
      <c r="B7" s="14">
        <f>SUMIFS(Estimation!$I$4:$I$62,Estimation!$B$4:$B$62,$A7)</f>
        <v>0</v>
      </c>
      <c r="C7" s="15">
        <f>SUMIFS(Estimation!$J$4:$J$62,Estimation!$B$4:$B$62,$A7)</f>
        <v>0</v>
      </c>
    </row>
    <row r="8" spans="1:4" ht="16.5" customHeight="1" x14ac:dyDescent="0.2">
      <c r="A8" s="19" t="s">
        <v>114</v>
      </c>
      <c r="B8" s="20">
        <f>SUM(B4:B7)</f>
        <v>0</v>
      </c>
      <c r="C8" s="21">
        <f>SUM(C4:C7)</f>
        <v>0</v>
      </c>
    </row>
    <row r="10" spans="1:4" ht="16.5" customHeight="1" x14ac:dyDescent="0.2">
      <c r="A10" s="6" t="s">
        <v>115</v>
      </c>
      <c r="B10" s="6"/>
      <c r="C10" s="6" t="s">
        <v>24</v>
      </c>
      <c r="D10" s="6" t="s">
        <v>116</v>
      </c>
    </row>
    <row r="11" spans="1:4" ht="16.5" customHeight="1" x14ac:dyDescent="0.2">
      <c r="A11" s="22" t="s">
        <v>9</v>
      </c>
      <c r="B11" s="23"/>
      <c r="C11" s="24">
        <f>C8*Assumptions!$B$8</f>
        <v>0</v>
      </c>
      <c r="D11" s="25" t="s">
        <v>117</v>
      </c>
    </row>
    <row r="13" spans="1:4" ht="17.25" customHeight="1" x14ac:dyDescent="0.2">
      <c r="A13" s="26" t="s">
        <v>118</v>
      </c>
      <c r="B13" s="23"/>
      <c r="C13" s="27">
        <f>C8+C11</f>
        <v>0</v>
      </c>
    </row>
    <row r="15" spans="1:4" ht="15" customHeight="1" x14ac:dyDescent="0.2">
      <c r="A15" s="59" t="s">
        <v>119</v>
      </c>
      <c r="B15" s="54"/>
      <c r="C15" s="54"/>
      <c r="D15" s="54"/>
    </row>
    <row r="16" spans="1:4" ht="16.5" customHeight="1" x14ac:dyDescent="0.2"/>
    <row r="18" ht="16.5" customHeight="1" x14ac:dyDescent="0.2"/>
    <row r="39" spans="4:4" x14ac:dyDescent="0.2">
      <c r="D39" t="s">
        <v>179</v>
      </c>
    </row>
  </sheetData>
  <mergeCells count="2">
    <mergeCell ref="A1:D1"/>
    <mergeCell ref="A15:D1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0"/>
  <sheetViews>
    <sheetView showGridLines="0" workbookViewId="0">
      <pane ySplit="2" topLeftCell="A3" activePane="bottomLeft" state="frozen"/>
      <selection pane="bottomLeft" activeCell="E15" sqref="E15"/>
    </sheetView>
  </sheetViews>
  <sheetFormatPr baseColWidth="10" defaultColWidth="8.6640625" defaultRowHeight="15" x14ac:dyDescent="0.2"/>
  <cols>
    <col min="1" max="1" width="4" customWidth="1"/>
    <col min="2" max="2" width="16" customWidth="1"/>
    <col min="3" max="3" width="30" customWidth="1"/>
    <col min="4" max="5" width="44" customWidth="1"/>
    <col min="6" max="6" width="29.1640625" customWidth="1"/>
    <col min="7" max="7" width="30" customWidth="1"/>
  </cols>
  <sheetData>
    <row r="1" spans="1:7" ht="20.25" customHeight="1" x14ac:dyDescent="0.2">
      <c r="A1" s="61" t="s">
        <v>120</v>
      </c>
      <c r="B1" s="54"/>
      <c r="C1" s="54"/>
      <c r="D1" s="54"/>
      <c r="E1" s="54"/>
      <c r="F1" s="54"/>
      <c r="G1" s="54"/>
    </row>
    <row r="2" spans="1:7" ht="16.5" customHeight="1" x14ac:dyDescent="0.2">
      <c r="A2" s="6" t="s">
        <v>20</v>
      </c>
      <c r="B2" s="6" t="s">
        <v>21</v>
      </c>
      <c r="C2" s="6" t="s">
        <v>121</v>
      </c>
      <c r="D2" s="6" t="s">
        <v>122</v>
      </c>
      <c r="E2" s="6" t="s">
        <v>123</v>
      </c>
      <c r="F2" s="6" t="s">
        <v>124</v>
      </c>
      <c r="G2" s="6" t="s">
        <v>3</v>
      </c>
    </row>
    <row r="3" spans="1:7" ht="51" customHeight="1" x14ac:dyDescent="0.2">
      <c r="A3" s="7">
        <v>2</v>
      </c>
      <c r="B3" s="8" t="s">
        <v>125</v>
      </c>
      <c r="C3" s="7" t="s">
        <v>126</v>
      </c>
      <c r="D3" s="7" t="s">
        <v>127</v>
      </c>
      <c r="E3" s="7" t="s">
        <v>128</v>
      </c>
      <c r="F3" s="9"/>
      <c r="G3" s="7"/>
    </row>
    <row r="4" spans="1:7" ht="67.5" customHeight="1" x14ac:dyDescent="0.2">
      <c r="A4" s="7">
        <v>3</v>
      </c>
      <c r="B4" s="8" t="s">
        <v>125</v>
      </c>
      <c r="C4" s="7" t="s">
        <v>129</v>
      </c>
      <c r="D4" s="7" t="s">
        <v>130</v>
      </c>
      <c r="E4" s="7" t="s">
        <v>131</v>
      </c>
      <c r="F4" s="9"/>
      <c r="G4" s="7"/>
    </row>
    <row r="5" spans="1:7" ht="51" customHeight="1" x14ac:dyDescent="0.2">
      <c r="A5" s="7">
        <v>4</v>
      </c>
      <c r="B5" s="8" t="s">
        <v>125</v>
      </c>
      <c r="C5" s="7" t="s">
        <v>132</v>
      </c>
      <c r="D5" s="7" t="s">
        <v>133</v>
      </c>
      <c r="E5" s="7" t="s">
        <v>134</v>
      </c>
      <c r="F5" s="9"/>
      <c r="G5" s="7"/>
    </row>
    <row r="6" spans="1:7" ht="67.5" customHeight="1" x14ac:dyDescent="0.2">
      <c r="A6" s="7">
        <v>5</v>
      </c>
      <c r="B6" s="8" t="s">
        <v>125</v>
      </c>
      <c r="C6" s="7" t="s">
        <v>135</v>
      </c>
      <c r="D6" s="7" t="s">
        <v>136</v>
      </c>
      <c r="E6" s="7" t="s">
        <v>137</v>
      </c>
      <c r="F6" s="9"/>
      <c r="G6" s="7"/>
    </row>
    <row r="7" spans="1:7" ht="33.75" customHeight="1" x14ac:dyDescent="0.2">
      <c r="A7" s="7">
        <v>6</v>
      </c>
      <c r="B7" s="8" t="s">
        <v>125</v>
      </c>
      <c r="C7" s="7" t="s">
        <v>138</v>
      </c>
      <c r="D7" s="7" t="s">
        <v>139</v>
      </c>
      <c r="E7" s="7" t="s">
        <v>140</v>
      </c>
      <c r="F7" s="9"/>
      <c r="G7" s="7"/>
    </row>
    <row r="8" spans="1:7" ht="33.75" customHeight="1" x14ac:dyDescent="0.2">
      <c r="A8" s="7">
        <v>7</v>
      </c>
      <c r="B8" s="8" t="s">
        <v>125</v>
      </c>
      <c r="C8" s="7" t="s">
        <v>141</v>
      </c>
      <c r="D8" s="7" t="s">
        <v>142</v>
      </c>
      <c r="E8" s="7" t="s">
        <v>143</v>
      </c>
      <c r="F8" s="9"/>
      <c r="G8" s="7"/>
    </row>
    <row r="9" spans="1:7" ht="84" customHeight="1" x14ac:dyDescent="0.2">
      <c r="A9" s="7">
        <v>8</v>
      </c>
      <c r="B9" s="8" t="s">
        <v>125</v>
      </c>
      <c r="C9" s="7" t="s">
        <v>144</v>
      </c>
      <c r="D9" s="7" t="s">
        <v>145</v>
      </c>
      <c r="E9" s="7" t="s">
        <v>146</v>
      </c>
      <c r="F9" s="9"/>
      <c r="G9" s="7"/>
    </row>
    <row r="10" spans="1:7" ht="21.75" customHeight="1" x14ac:dyDescent="0.2">
      <c r="A10" s="62" t="s">
        <v>147</v>
      </c>
      <c r="B10" s="54"/>
      <c r="C10" s="54"/>
      <c r="D10" s="54"/>
      <c r="E10" s="54"/>
      <c r="F10" s="54"/>
      <c r="G10" s="54"/>
    </row>
    <row r="11" spans="1:7" ht="16.5" customHeight="1" x14ac:dyDescent="0.2">
      <c r="A11" s="10"/>
      <c r="B11" s="11"/>
      <c r="C11" s="12"/>
      <c r="D11" s="12"/>
      <c r="E11" s="12"/>
      <c r="F11" s="13"/>
      <c r="G11" s="12"/>
    </row>
    <row r="12" spans="1:7" ht="16.5" customHeight="1" x14ac:dyDescent="0.2">
      <c r="A12" s="10"/>
      <c r="B12" s="11"/>
      <c r="C12" s="12"/>
      <c r="D12" s="12"/>
      <c r="E12" s="12"/>
      <c r="F12" s="13"/>
      <c r="G12" s="12"/>
    </row>
    <row r="13" spans="1:7" ht="16.5" customHeight="1" x14ac:dyDescent="0.2">
      <c r="A13" s="10"/>
      <c r="B13" s="11"/>
      <c r="C13" s="12"/>
      <c r="D13" s="12"/>
      <c r="E13" s="12"/>
      <c r="F13" s="13"/>
      <c r="G13" s="12"/>
    </row>
    <row r="14" spans="1:7" ht="16.5" customHeight="1" x14ac:dyDescent="0.2">
      <c r="A14" s="10"/>
      <c r="B14" s="11"/>
      <c r="C14" s="12"/>
      <c r="D14" s="12"/>
      <c r="E14" s="12"/>
      <c r="F14" s="13"/>
      <c r="G14" s="12"/>
    </row>
    <row r="15" spans="1:7" ht="16.5" customHeight="1" x14ac:dyDescent="0.2">
      <c r="A15" s="10"/>
      <c r="B15" s="11"/>
      <c r="C15" s="12"/>
      <c r="D15" s="12"/>
      <c r="E15" s="12"/>
      <c r="F15" s="13"/>
      <c r="G15" s="12"/>
    </row>
    <row r="16" spans="1:7" ht="16.5" customHeight="1" x14ac:dyDescent="0.2">
      <c r="A16" s="10"/>
      <c r="B16" s="11"/>
      <c r="C16" s="12"/>
      <c r="D16" s="12"/>
      <c r="E16" s="12"/>
      <c r="F16" s="13"/>
      <c r="G16" s="12"/>
    </row>
    <row r="17" spans="1:7" ht="16.5" customHeight="1" x14ac:dyDescent="0.2">
      <c r="A17" s="10"/>
      <c r="B17" s="11"/>
      <c r="C17" s="12"/>
      <c r="D17" s="12"/>
      <c r="E17" s="12"/>
      <c r="F17" s="13"/>
      <c r="G17" s="12"/>
    </row>
    <row r="18" spans="1:7" ht="16.5" customHeight="1" x14ac:dyDescent="0.2">
      <c r="A18" s="10"/>
      <c r="B18" s="11"/>
      <c r="C18" s="12"/>
      <c r="D18" s="12"/>
      <c r="E18" s="12"/>
      <c r="F18" s="13"/>
      <c r="G18" s="12"/>
    </row>
    <row r="19" spans="1:7" ht="16.5" customHeight="1" x14ac:dyDescent="0.2">
      <c r="A19" s="10"/>
      <c r="B19" s="11"/>
      <c r="C19" s="12"/>
      <c r="D19" s="12"/>
      <c r="E19" s="12"/>
      <c r="F19" s="13"/>
      <c r="G19" s="12"/>
    </row>
    <row r="20" spans="1:7" ht="16.5" customHeight="1" x14ac:dyDescent="0.2">
      <c r="A20" s="10"/>
      <c r="B20" s="11"/>
      <c r="C20" s="12"/>
      <c r="D20" s="12"/>
      <c r="E20" s="12"/>
      <c r="F20" s="13"/>
      <c r="G20" s="12"/>
    </row>
    <row r="21" spans="1:7" ht="16.5" customHeight="1" x14ac:dyDescent="0.2">
      <c r="A21" s="10"/>
      <c r="B21" s="11"/>
      <c r="C21" s="12"/>
      <c r="D21" s="12"/>
      <c r="E21" s="12"/>
      <c r="F21" s="13"/>
      <c r="G21" s="12"/>
    </row>
    <row r="22" spans="1:7" ht="16.5" customHeight="1" x14ac:dyDescent="0.2">
      <c r="A22" s="10"/>
      <c r="B22" s="11"/>
      <c r="C22" s="12"/>
      <c r="D22" s="12"/>
      <c r="E22" s="12"/>
      <c r="F22" s="13"/>
      <c r="G22" s="12"/>
    </row>
    <row r="23" spans="1:7" ht="16.5" customHeight="1" x14ac:dyDescent="0.2">
      <c r="A23" s="10"/>
      <c r="B23" s="11"/>
      <c r="C23" s="12"/>
      <c r="D23" s="12"/>
      <c r="E23" s="12"/>
      <c r="F23" s="13"/>
      <c r="G23" s="12"/>
    </row>
    <row r="24" spans="1:7" ht="16.5" customHeight="1" x14ac:dyDescent="0.2">
      <c r="A24" s="10"/>
      <c r="B24" s="11"/>
      <c r="C24" s="12"/>
      <c r="D24" s="12"/>
      <c r="E24" s="12"/>
      <c r="F24" s="13"/>
      <c r="G24" s="12"/>
    </row>
    <row r="25" spans="1:7" ht="16.5" customHeight="1" x14ac:dyDescent="0.2">
      <c r="A25" s="10"/>
      <c r="B25" s="11"/>
      <c r="C25" s="12"/>
      <c r="D25" s="12"/>
      <c r="E25" s="12"/>
      <c r="F25" s="13"/>
      <c r="G25" s="12"/>
    </row>
    <row r="26" spans="1:7" ht="16.5" customHeight="1" x14ac:dyDescent="0.2">
      <c r="A26" s="10"/>
      <c r="B26" s="11"/>
      <c r="C26" s="12"/>
      <c r="D26" s="12"/>
      <c r="E26" s="12"/>
      <c r="F26" s="13"/>
      <c r="G26" s="12"/>
    </row>
    <row r="27" spans="1:7" ht="16.5" customHeight="1" x14ac:dyDescent="0.2">
      <c r="A27" s="10"/>
      <c r="B27" s="11"/>
      <c r="C27" s="12"/>
      <c r="D27" s="12"/>
      <c r="E27" s="12"/>
      <c r="F27" s="13"/>
      <c r="G27" s="12"/>
    </row>
    <row r="28" spans="1:7" ht="16.5" customHeight="1" x14ac:dyDescent="0.2">
      <c r="A28" s="10"/>
      <c r="B28" s="11"/>
      <c r="C28" s="12"/>
      <c r="D28" s="12"/>
      <c r="E28" s="12"/>
      <c r="F28" s="13"/>
      <c r="G28" s="12"/>
    </row>
    <row r="29" spans="1:7" ht="16.5" customHeight="1" x14ac:dyDescent="0.2">
      <c r="A29" s="10"/>
      <c r="B29" s="11"/>
      <c r="C29" s="12"/>
      <c r="D29" s="12"/>
      <c r="E29" s="12"/>
      <c r="F29" s="13"/>
      <c r="G29" s="12"/>
    </row>
    <row r="30" spans="1:7" ht="16.5" customHeight="1" x14ac:dyDescent="0.2">
      <c r="A30" s="10"/>
      <c r="B30" s="11"/>
      <c r="C30" s="12"/>
      <c r="D30" s="12"/>
      <c r="E30" s="12"/>
      <c r="F30" s="13"/>
      <c r="G30" s="12"/>
    </row>
  </sheetData>
  <mergeCells count="2">
    <mergeCell ref="A1:G1"/>
    <mergeCell ref="A10:G1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"/>
  <sheetViews>
    <sheetView showGridLines="0" workbookViewId="0">
      <pane ySplit="3" topLeftCell="A4" activePane="bottomLeft" state="frozen"/>
      <selection pane="bottomLeft" activeCell="B43" sqref="B43"/>
    </sheetView>
  </sheetViews>
  <sheetFormatPr baseColWidth="10" defaultColWidth="9" defaultRowHeight="15" x14ac:dyDescent="0.2"/>
  <cols>
    <col min="1" max="1" width="26" customWidth="1"/>
    <col min="2" max="2" width="34.83203125" customWidth="1"/>
    <col min="3" max="3" width="60" customWidth="1"/>
  </cols>
  <sheetData>
    <row r="1" spans="1:3" ht="18" x14ac:dyDescent="0.2">
      <c r="A1" s="1" t="s">
        <v>148</v>
      </c>
    </row>
    <row r="3" spans="1:3" ht="16" x14ac:dyDescent="0.2">
      <c r="A3" s="63" t="s">
        <v>149</v>
      </c>
      <c r="B3" s="54"/>
      <c r="C3" s="54"/>
    </row>
    <row r="4" spans="1:3" x14ac:dyDescent="0.2">
      <c r="A4" s="2" t="s">
        <v>150</v>
      </c>
      <c r="B4" s="2" t="s">
        <v>151</v>
      </c>
      <c r="C4" s="2" t="s">
        <v>3</v>
      </c>
    </row>
    <row r="5" spans="1:3" x14ac:dyDescent="0.2">
      <c r="A5" s="3" t="s">
        <v>152</v>
      </c>
      <c r="B5" s="3" t="s">
        <v>153</v>
      </c>
      <c r="C5" s="4" t="s">
        <v>154</v>
      </c>
    </row>
    <row r="6" spans="1:3" x14ac:dyDescent="0.2">
      <c r="A6" s="3" t="s">
        <v>155</v>
      </c>
      <c r="B6" s="3" t="s">
        <v>156</v>
      </c>
      <c r="C6" s="4" t="s">
        <v>154</v>
      </c>
    </row>
    <row r="8" spans="1:3" ht="16" x14ac:dyDescent="0.2">
      <c r="A8" s="63" t="s">
        <v>157</v>
      </c>
      <c r="B8" s="54"/>
      <c r="C8" s="54"/>
    </row>
    <row r="9" spans="1:3" x14ac:dyDescent="0.2">
      <c r="A9" s="2" t="s">
        <v>150</v>
      </c>
      <c r="B9" s="2" t="s">
        <v>151</v>
      </c>
      <c r="C9" s="2" t="s">
        <v>3</v>
      </c>
    </row>
    <row r="10" spans="1:3" x14ac:dyDescent="0.2">
      <c r="A10" s="3" t="s">
        <v>158</v>
      </c>
      <c r="B10" s="3" t="s">
        <v>159</v>
      </c>
      <c r="C10" s="4" t="s">
        <v>154</v>
      </c>
    </row>
    <row r="11" spans="1:3" x14ac:dyDescent="0.2">
      <c r="A11" s="3" t="s">
        <v>160</v>
      </c>
      <c r="B11" s="3" t="s">
        <v>161</v>
      </c>
      <c r="C11" s="4" t="s">
        <v>154</v>
      </c>
    </row>
    <row r="12" spans="1:3" x14ac:dyDescent="0.2">
      <c r="A12" s="3" t="s">
        <v>162</v>
      </c>
      <c r="B12" s="3" t="s">
        <v>163</v>
      </c>
      <c r="C12" s="4" t="s">
        <v>154</v>
      </c>
    </row>
    <row r="13" spans="1:3" x14ac:dyDescent="0.2">
      <c r="A13" s="3" t="s">
        <v>164</v>
      </c>
      <c r="B13" s="3" t="s">
        <v>165</v>
      </c>
      <c r="C13" s="4" t="s">
        <v>154</v>
      </c>
    </row>
    <row r="14" spans="1:3" x14ac:dyDescent="0.2">
      <c r="A14" s="3" t="s">
        <v>166</v>
      </c>
      <c r="B14" s="5" t="s">
        <v>167</v>
      </c>
      <c r="C14" s="4" t="s">
        <v>168</v>
      </c>
    </row>
    <row r="15" spans="1:3" x14ac:dyDescent="0.2">
      <c r="A15" s="3" t="s">
        <v>169</v>
      </c>
      <c r="B15" s="5" t="s">
        <v>170</v>
      </c>
      <c r="C15" s="4" t="s">
        <v>168</v>
      </c>
    </row>
    <row r="17" spans="1:3" ht="16" x14ac:dyDescent="0.2">
      <c r="A17" s="63" t="s">
        <v>171</v>
      </c>
      <c r="B17" s="54"/>
      <c r="C17" s="54"/>
    </row>
    <row r="18" spans="1:3" x14ac:dyDescent="0.2">
      <c r="A18" s="2" t="s">
        <v>150</v>
      </c>
      <c r="B18" s="2" t="s">
        <v>151</v>
      </c>
      <c r="C18" s="2" t="s">
        <v>3</v>
      </c>
    </row>
    <row r="19" spans="1:3" x14ac:dyDescent="0.2">
      <c r="A19" s="3" t="s">
        <v>172</v>
      </c>
      <c r="B19" s="3" t="s">
        <v>173</v>
      </c>
      <c r="C19" s="4" t="s">
        <v>154</v>
      </c>
    </row>
    <row r="20" spans="1:3" x14ac:dyDescent="0.2">
      <c r="A20" s="3" t="s">
        <v>174</v>
      </c>
      <c r="B20" s="3" t="s">
        <v>175</v>
      </c>
      <c r="C20" s="4" t="s">
        <v>154</v>
      </c>
    </row>
    <row r="21" spans="1:3" ht="30" x14ac:dyDescent="0.2">
      <c r="A21" s="3" t="s">
        <v>176</v>
      </c>
      <c r="B21" s="3" t="s">
        <v>177</v>
      </c>
      <c r="C21" s="4" t="s">
        <v>178</v>
      </c>
    </row>
  </sheetData>
  <mergeCells count="3">
    <mergeCell ref="A3:C3"/>
    <mergeCell ref="A8:C8"/>
    <mergeCell ref="A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Estimation</vt:lpstr>
      <vt:lpstr>Summary</vt:lpstr>
      <vt:lpstr>Customer Confirmation</vt:lpstr>
      <vt:lpstr>Techstack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cp:revision>10</cp:revision>
  <dcterms:created xsi:type="dcterms:W3CDTF">2026-08-27T14:28:00Z</dcterms:created>
  <dcterms:modified xsi:type="dcterms:W3CDTF">2026-08-26T08:54:17Z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CCB2F72C97A9F0D4F7A68D6AA00E474F_42</vt:lpwstr>
  </property>
  <property fmtid="{D5CDD505-2E9C-101B-9397-08002B2CF9AE}" pid="4" name="KSOProductBuildVer">
    <vt:lpwstr>1033-12.1.26050.26050</vt:lpwstr>
  </property>
</Properties>
</file>